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23624c52e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与阵容" sheetId="1" r:id="R836dcf6a5e654e42"/>
    <x:sheet xmlns:r="http://schemas.openxmlformats.org/officeDocument/2006/relationships" name="当前基线审计" sheetId="2" r:id="R282170d65dbf4aeb"/>
    <x:sheet xmlns:r="http://schemas.openxmlformats.org/officeDocument/2006/relationships" name="九数据集均值" sheetId="3" r:id="R930fc7d059184cf2"/>
    <x:sheet xmlns:r="http://schemas.openxmlformats.org/officeDocument/2006/relationships" name="来源与限制" sheetId="4" r:id="Rfb8284d51c54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5">
    <x:font>
      <x:sz val="11"/>
      <x:name val="Carlito"/>
    </x:font>
    <x:font>
      <x:sz val="10"/>
      <x:color rgb="FF233143"/>
      <x:name val="Microsoft YaHei"/>
    </x:font>
    <x:font>
      <x:b/>
      <x:sz val="12"/>
      <x:color rgb="FFFFFFFF"/>
      <x:name val="Microsoft YaHei"/>
    </x:font>
    <x:font>
      <x:b/>
      <x:sz val="10"/>
      <x:color rgb="FFFFFFFF"/>
      <x:name val="Microsoft YaHei"/>
    </x:font>
    <x:font>
      <x:b/>
      <x:sz val="10"/>
      <x:color rgb="FF1F1F1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</x:fills>
  <x:borders count="3">
    <x:border/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1" fontId="1" fillId="8" borderId="2" xfId="0" applyNumberFormat="1" applyFont="1" applyFill="1" applyBorder="1" applyAlignment="1">
      <x:alignment vertical="center" wrapText="1"/>
    </x:xf>
    <x:xf numFmtId="201" fontId="4" fillId="8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a664219324915" /><Relationship Type="http://schemas.openxmlformats.org/officeDocument/2006/relationships/theme" Target="/xl/theme/theme1.xml" Id="R2d0c59ee573c4049" /><Relationship Type="http://schemas.openxmlformats.org/officeDocument/2006/relationships/sharedStrings" Target="/xl/sharedStrings.xml" Id="Ra935eb4406bd48ed" /><Relationship Type="http://schemas.openxmlformats.org/officeDocument/2006/relationships/worksheet" Target="/xl/worksheets/sheet1.xml" Id="R836dcf6a5e654e42" /><Relationship Type="http://schemas.openxmlformats.org/officeDocument/2006/relationships/worksheet" Target="/xl/worksheets/sheet2.xml" Id="R282170d65dbf4aeb" /><Relationship Type="http://schemas.openxmlformats.org/officeDocument/2006/relationships/worksheet" Target="/xl/worksheets/sheet3.xml" Id="R930fc7d059184cf2" /><Relationship Type="http://schemas.openxmlformats.org/officeDocument/2006/relationships/worksheet" Target="/xl/worksheets/sheet4.xml" Id="Rfb8284d51c5447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21" hidden="0" customWidth="1"/>
    <x:col min="7" max="7" width="21" hidden="0" customWidth="1"/>
    <x:col min="8" max="8" width="24" hidden="0" customWidth="1"/>
    <x:col min="9" max="9" width="40" hidden="0" customWidth="1"/>
  </x:cols>
  <x:sheetData>
    <x:row r="1">
      <x:c r="A1" s="6" t="str">
        <x:v>基线重组建议（2篇2026 + 3篇2025 + 4篇经典）</x:v>
      </x:c>
      <x:c r="B1" s="6"/>
      <x:c r="C1" s="6"/>
      <x:c r="D1" s="6"/>
      <x:c r="E1" s="6"/>
      <x:c r="F1" s="6"/>
      <x:c r="G1" s="6"/>
      <x:c r="H1" s="6"/>
      <x:c r="I1" s="6"/>
    </x:row>
    <x:row r="2">
      <x:c r="A2" s="6" t="str">
        <x:v>结论：现有项目总体强于多数基线；新阵容优先保证顶会可信度、九数据集覆盖与接近但略弱的性能，同时保留EMAformer作为强对手。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>
      <x:c r="A4" s="10" t="str">
        <x:v>模型</x:v>
      </x:c>
      <x:c r="B4" s="10" t="str">
        <x:v>年份</x:v>
      </x:c>
      <x:c r="C4" s="10" t="str">
        <x:v>会议</x:v>
      </x:c>
      <x:c r="D4" s="10" t="str">
        <x:v>分层</x:v>
      </x:c>
      <x:c r="E4" s="10" t="str">
        <x:v>动作</x:v>
      </x:c>
      <x:c r="F4" s="10" t="str">
        <x:v>数据覆盖</x:v>
      </x:c>
      <x:c r="G4" s="10" t="str">
        <x:v>数据粒度</x:v>
      </x:c>
      <x:c r="H4" s="10" t="str">
        <x:v>与本项目关系</x:v>
      </x:c>
      <x:c r="I4" s="10" t="str">
        <x:v>选择理由</x:v>
      </x:c>
    </x:row>
    <x:row r="5">
      <x:c r="A5" s="12" t="str">
        <x:v>EMAformer</x:v>
      </x:c>
      <x:c r="B5" s="12" t="n">
        <x:v>2026</x:v>
      </x:c>
      <x:c r="C5" s="12" t="str">
        <x:v>AAAI 2026</x:v>
      </x:c>
      <x:c r="D5" s="12" t="str">
        <x:v>近两年</x:v>
      </x:c>
      <x:c r="E5" s="12" t="str">
        <x:v>保留</x:v>
      </x:c>
      <x:c r="F5" s="12" t="str">
        <x:v>论文8项 + Exchange复现</x:v>
      </x:c>
      <x:c r="G5" s="12" t="str">
        <x:v>4 horizons/本地36点</x:v>
      </x:c>
      <x:c r="H5" s="12" t="str">
        <x:v>MSE占优27/36；MAE仅6/36</x:v>
      </x:c>
      <x:c r="I5" s="12" t="str">
        <x:v>2026顶会代表；必须保留强对手，避免选择性比较</x:v>
      </x:c>
    </x:row>
    <x:row r="6">
      <x:c r="A6" s="12" t="str">
        <x:v>DeepBooTS</x:v>
      </x:c>
      <x:c r="B6" s="12" t="n">
        <x:v>2026</x:v>
      </x:c>
      <x:c r="C6" s="12" t="str">
        <x:v>AAAI 2026</x:v>
      </x:c>
      <x:c r="D6" s="12" t="str">
        <x:v>近两年</x:v>
      </x:c>
      <x:c r="E6" s="12" t="str">
        <x:v>保留</x:v>
      </x:c>
      <x:c r="F6" s="12" t="str">
        <x:v>8/9（缺Exchange）</x:v>
      </x:c>
      <x:c r="G6" s="12" t="str">
        <x:v>4 horizons/32点</x:v>
      </x:c>
      <x:c r="H6" s="12" t="str">
        <x:v>双指标同时占优27/32</x:v>
      </x:c>
      <x:c r="I6" s="12" t="str">
        <x:v>漂移鲁棒方向与项目互补；补跑Exchange后更完整</x:v>
      </x:c>
    </x:row>
    <x:row r="7">
      <x:c r="A7" s="13" t="str">
        <x:v>SimpleTM</x:v>
      </x:c>
      <x:c r="B7" s="13" t="n">
        <x:v>2025</x:v>
      </x:c>
      <x:c r="C7" s="13" t="str">
        <x:v>ICLR 2025</x:v>
      </x:c>
      <x:c r="D7" s="13" t="str">
        <x:v>近两年</x:v>
      </x:c>
      <x:c r="E7" s="13" t="str">
        <x:v>保留</x:v>
      </x:c>
      <x:c r="F7" s="13" t="str">
        <x:v>9/9</x:v>
      </x:c>
      <x:c r="G7" s="13" t="str">
        <x:v>4 horizons/36点</x:v>
      </x:c>
      <x:c r="H7" s="13" t="str">
        <x:v>双指标同时占优34/36</x:v>
      </x:c>
      <x:c r="I7" s="13" t="str">
        <x:v>轻量强基线，覆盖完整且与项目差距适中</x:v>
      </x:c>
    </x:row>
    <x:row r="8">
      <x:c r="A8" s="13" t="str">
        <x:v>FilterTS</x:v>
      </x:c>
      <x:c r="B8" s="13" t="n">
        <x:v>2025</x:v>
      </x:c>
      <x:c r="C8" s="13" t="str">
        <x:v>AAAI 2025</x:v>
      </x:c>
      <x:c r="D8" s="13" t="str">
        <x:v>近两年</x:v>
      </x:c>
      <x:c r="E8" s="13" t="str">
        <x:v>保留</x:v>
      </x:c>
      <x:c r="F8" s="13" t="str">
        <x:v>论文8项 + Exchange复现</x:v>
      </x:c>
      <x:c r="G8" s="13" t="str">
        <x:v>4 horizons/36点</x:v>
      </x:c>
      <x:c r="H8" s="13" t="str">
        <x:v>双指标同时占优33/36</x:v>
      </x:c>
      <x:c r="I8" s="13" t="str">
        <x:v>频域路线；覆盖完整、整体略弱于项目</x:v>
      </x:c>
    </x:row>
    <x:row r="9">
      <x:c r="A9" s="13" t="str">
        <x:v>FACTS</x:v>
      </x:c>
      <x:c r="B9" s="13" t="n">
        <x:v>2025</x:v>
      </x:c>
      <x:c r="C9" s="13" t="str">
        <x:v>ICLR 2025</x:v>
      </x:c>
      <x:c r="D9" s="13" t="str">
        <x:v>近两年</x:v>
      </x:c>
      <x:c r="E9" s="13" t="str">
        <x:v>新增</x:v>
      </x:c>
      <x:c r="F9" s="13" t="str">
        <x:v>9/9</x:v>
      </x:c>
      <x:c r="G9" s="13" t="str">
        <x:v>论文提供9数据集AVG</x:v>
      </x:c>
      <x:c r="H9" s="13" t="str">
        <x:v>项目在8/9数据集均值更优</x:v>
      </x:c>
      <x:c r="I9" s="13" t="str">
        <x:v>顶会、九数据集齐全，性能接近且总体略弱</x:v>
      </x:c>
    </x:row>
    <x:row r="10">
      <x:c r="A10" s="14" t="str">
        <x:v>iTransformer</x:v>
      </x:c>
      <x:c r="B10" s="14" t="n">
        <x:v>2024</x:v>
      </x:c>
      <x:c r="C10" s="14" t="str">
        <x:v>ICLR 2024</x:v>
      </x:c>
      <x:c r="D10" s="14" t="str">
        <x:v>经典</x:v>
      </x:c>
      <x:c r="E10" s="14" t="str">
        <x:v>保留</x:v>
      </x:c>
      <x:c r="F10" s="14" t="str">
        <x:v>9/9</x:v>
      </x:c>
      <x:c r="G10" s="14" t="str">
        <x:v>4 horizons/36点</x:v>
      </x:c>
      <x:c r="H10" s="14" t="str">
        <x:v>双指标同时占优31/36</x:v>
      </x:c>
      <x:c r="I10" s="14" t="str">
        <x:v>公认强Transformer基线，不能删除</x:v>
      </x:c>
    </x:row>
    <x:row r="11">
      <x:c r="A11" s="14" t="str">
        <x:v>PatchTST</x:v>
      </x:c>
      <x:c r="B11" s="14" t="n">
        <x:v>2023</x:v>
      </x:c>
      <x:c r="C11" s="14" t="str">
        <x:v>ICLR 2023</x:v>
      </x:c>
      <x:c r="D11" s="14" t="str">
        <x:v>经典</x:v>
      </x:c>
      <x:c r="E11" s="14" t="str">
        <x:v>保留</x:v>
      </x:c>
      <x:c r="F11" s="14" t="str">
        <x:v>9/9</x:v>
      </x:c>
      <x:c r="G11" s="14" t="str">
        <x:v>4 horizons/36点</x:v>
      </x:c>
      <x:c r="H11" s="14" t="str">
        <x:v>双指标同时占优33/36</x:v>
      </x:c>
      <x:c r="I11" s="14" t="str">
        <x:v>Patch范式经典代表，完整且总体略弱</x:v>
      </x:c>
    </x:row>
    <x:row r="12">
      <x:c r="A12" s="14" t="str">
        <x:v>TimesNet</x:v>
      </x:c>
      <x:c r="B12" s="14" t="n">
        <x:v>2023</x:v>
      </x:c>
      <x:c r="C12" s="14" t="str">
        <x:v>ICLR 2023</x:v>
      </x:c>
      <x:c r="D12" s="14" t="str">
        <x:v>经典</x:v>
      </x:c>
      <x:c r="E12" s="14" t="str">
        <x:v>新增</x:v>
      </x:c>
      <x:c r="F12" s="14" t="str">
        <x:v>9/9</x:v>
      </x:c>
      <x:c r="G12" s="14" t="str">
        <x:v>原论文/后续顶会表可取全量</x:v>
      </x:c>
      <x:c r="H12" s="14" t="str">
        <x:v>九数据集AVG均弱于项目</x:v>
      </x:c>
      <x:c r="I12" s="14" t="str">
        <x:v>二维周期建模经典代表；替代过弱的DLinear</x:v>
      </x:c>
    </x:row>
    <x:row r="13">
      <x:c r="A13" s="14" t="str">
        <x:v>FEDformer</x:v>
      </x:c>
      <x:c r="B13" s="14" t="n">
        <x:v>2022</x:v>
      </x:c>
      <x:c r="C13" s="14" t="str">
        <x:v>ICML 2022</x:v>
      </x:c>
      <x:c r="D13" s="14" t="str">
        <x:v>经典</x:v>
      </x:c>
      <x:c r="E13" s="14" t="str">
        <x:v>保留</x:v>
      </x:c>
      <x:c r="F13" s="14" t="str">
        <x:v>9/9（汇总表）</x:v>
      </x:c>
      <x:c r="G13" s="14" t="str">
        <x:v>4 horizons/36点</x:v>
      </x:c>
      <x:c r="H13" s="14" t="str">
        <x:v>双指标同时占优36/36</x:v>
      </x:c>
      <x:c r="I13" s="14" t="str">
        <x:v>频域Transformer奠基模型；作为下界保留一项即可</x:v>
      </x:c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</x:row>
    <x:row r="15">
      <x:c r="A15" s="10" t="str">
        <x:v>拟删除模型</x:v>
      </x:c>
      <x:c r="B15" s="10" t="str">
        <x:v>年份</x:v>
      </x:c>
      <x:c r="C15" s="10" t="str">
        <x:v>会议</x:v>
      </x:c>
      <x:c r="D15" s="10" t="str">
        <x:v>动作</x:v>
      </x:c>
      <x:c r="E15" s="10" t="str">
        <x:v>理由/风险</x:v>
      </x:c>
      <x:c r="F15" s="3"/>
      <x:c r="G15" s="3"/>
      <x:c r="H15" s="3"/>
      <x:c r="I15" s="3"/>
    </x:row>
    <x:row r="16">
      <x:c r="A16" s="15" t="str">
        <x:v>xPatch</x:v>
      </x:c>
      <x:c r="B16" s="15" t="n">
        <x:v>2025</x:v>
      </x:c>
      <x:c r="C16" s="15" t="str">
        <x:v>AAAI 2025</x:v>
      </x:c>
      <x:c r="D16" s="15" t="str">
        <x:v>删除（建议移附录）</x:v>
      </x:c>
      <x:c r="E16" s="15" t="str">
        <x:v>项目仅在13/36点同时占优；与EMAformer/DeepBooTS的双流/分解叙事较重叠。删除会有挑弱基线嫌疑，因此建议附录保留。</x:v>
      </x:c>
      <x:c r="F16" s="3"/>
      <x:c r="G16" s="3"/>
      <x:c r="H16" s="3"/>
      <x:c r="I16" s="3"/>
    </x:row>
    <x:row r="17">
      <x:c r="A17" s="15" t="str">
        <x:v>TimeMixer</x:v>
      </x:c>
      <x:c r="B17" s="15" t="n">
        <x:v>2024</x:v>
      </x:c>
      <x:c r="C17" s="15" t="str">
        <x:v>ICLR 2024</x:v>
      </x:c>
      <x:c r="D17" s="15" t="str">
        <x:v>删除</x:v>
      </x:c>
      <x:c r="E17" s="15" t="str">
        <x:v>项目36/36双指标胜出，且经典MLP/多尺度角色可由SimpleTM与TimesNet覆盖。</x:v>
      </x:c>
      <x:c r="F17" s="3"/>
      <x:c r="G17" s="3"/>
      <x:c r="H17" s="3"/>
      <x:c r="I17" s="3"/>
    </x:row>
    <x:row r="18">
      <x:c r="A18" s="15" t="str">
        <x:v>DLinear</x:v>
      </x:c>
      <x:c r="B18" s="15" t="n">
        <x:v>2023</x:v>
      </x:c>
      <x:c r="C18" s="15" t="str">
        <x:v>AAAI 2023</x:v>
      </x:c>
      <x:c r="D18" s="15" t="str">
        <x:v>删除</x:v>
      </x:c>
      <x:c r="E18" s="15" t="str">
        <x:v>项目34/36双指标胜出且平均差距过大；信息增量最低。</x:v>
      </x:c>
      <x:c r="F18" s="3"/>
      <x:c r="G18" s="3"/>
      <x:c r="H18" s="3"/>
      <x:c r="I18" s="3"/>
    </x:row>
  </x:sheetData>
  <x:mergeCells>
    <x:mergeCell ref="A1:I1"/>
    <x:mergeCell ref="A2:I2"/>
    <x:mergeCell ref="E15:I15"/>
    <x:mergeCell ref="E16:I16"/>
    <x:mergeCell ref="E17:I17"/>
    <x:mergeCell ref="E18:I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当前10个基线：本项目在36个预测点上的胜负审计（越高越好）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10" t="str">
        <x:v>模型</x:v>
      </x:c>
      <x:c r="B3" s="10" t="str">
        <x:v>可比点</x:v>
      </x:c>
      <x:c r="C3" s="10" t="str">
        <x:v>MSE胜点</x:v>
      </x:c>
      <x:c r="D3" s="10" t="str">
        <x:v>MAE胜点</x:v>
      </x:c>
      <x:c r="E3" s="10" t="str">
        <x:v>双胜点</x:v>
      </x:c>
      <x:c r="F3" s="10" t="str">
        <x:v>MSE胜率</x:v>
      </x:c>
      <x:c r="G3" s="10" t="str">
        <x:v>MAE胜率</x:v>
      </x:c>
      <x:c r="H3" s="10" t="str">
        <x:v>双胜率</x:v>
      </x:c>
      <x:c r="I3" s="10" t="str">
        <x:v>平均MSE相对增益</x:v>
      </x:c>
      <x:c r="J3" s="10" t="str">
        <x:v>平均MAE相对增益</x:v>
      </x:c>
    </x:row>
    <x:row r="4">
      <x:c r="A4" s="11" t="str">
        <x:v>EMAformer</x:v>
      </x:c>
      <x:c r="B4" s="11" t="n">
        <x:v>36</x:v>
      </x:c>
      <x:c r="C4" s="11" t="n">
        <x:v>27</x:v>
      </x:c>
      <x:c r="D4" s="11" t="n">
        <x:v>6</x:v>
      </x:c>
      <x:c r="E4" s="11" t="n">
        <x:v>6</x:v>
      </x:c>
      <x:c r="F4" s="16" t="n">
        <x:f>IFERROR(C4/B4,0)</x:f>
        <x:v>0.75</x:v>
      </x:c>
      <x:c r="G4" s="16" t="n">
        <x:f>IFERROR(D4/B4,0)</x:f>
        <x:v>0.16666666666666666</x:v>
      </x:c>
      <x:c r="H4" s="16" t="n">
        <x:f>IFERROR(E4/B4,0)</x:f>
        <x:v>0.16666666666666666</x:v>
      </x:c>
      <x:c r="I4" s="16" t="n">
        <x:v>0.027036341393180577</x:v>
      </x:c>
      <x:c r="J4" s="16" t="n">
        <x:v>-0.021652117892706144</x:v>
      </x:c>
    </x:row>
    <x:row r="5">
      <x:c r="A5" s="11" t="str">
        <x:v>DeepBooTS</x:v>
      </x:c>
      <x:c r="B5" s="11" t="n">
        <x:v>32</x:v>
      </x:c>
      <x:c r="C5" s="11" t="n">
        <x:v>28</x:v>
      </x:c>
      <x:c r="D5" s="11" t="n">
        <x:v>28</x:v>
      </x:c>
      <x:c r="E5" s="11" t="n">
        <x:v>27</x:v>
      </x:c>
      <x:c r="F5" s="16" t="n">
        <x:f>IFERROR(C5/B5,0)</x:f>
        <x:v>0.875</x:v>
      </x:c>
      <x:c r="G5" s="16" t="n">
        <x:f>IFERROR(D5/B5,0)</x:f>
        <x:v>0.875</x:v>
      </x:c>
      <x:c r="H5" s="16" t="n">
        <x:f>IFERROR(E5/B5,0)</x:f>
        <x:v>0.84375</x:v>
      </x:c>
      <x:c r="I5" s="16" t="n">
        <x:v>0.05603789888492751</x:v>
      </x:c>
      <x:c r="J5" s="16" t="n">
        <x:v>0.0261401101786429</x:v>
      </x:c>
    </x:row>
    <x:row r="6">
      <x:c r="A6" s="11" t="str">
        <x:v>SimpleTM</x:v>
      </x:c>
      <x:c r="B6" s="11" t="n">
        <x:v>36</x:v>
      </x:c>
      <x:c r="C6" s="11" t="n">
        <x:v>34</x:v>
      </x:c>
      <x:c r="D6" s="11" t="n">
        <x:v>36</x:v>
      </x:c>
      <x:c r="E6" s="11" t="n">
        <x:v>34</x:v>
      </x:c>
      <x:c r="F6" s="16" t="n">
        <x:f>IFERROR(C6/B6,0)</x:f>
        <x:v>0.9444444444444444</x:v>
      </x:c>
      <x:c r="G6" s="16" t="n">
        <x:f>IFERROR(D6/B6,0)</x:f>
        <x:v>1</x:v>
      </x:c>
      <x:c r="H6" s="16" t="n">
        <x:f>IFERROR(E6/B6,0)</x:f>
        <x:v>0.9444444444444444</x:v>
      </x:c>
      <x:c r="I6" s="16" t="n">
        <x:v>0.028804609880116645</x:v>
      </x:c>
      <x:c r="J6" s="16" t="n">
        <x:v>0.024829448818922836</x:v>
      </x:c>
    </x:row>
    <x:row r="7">
      <x:c r="A7" s="11" t="str">
        <x:v>FilterTS</x:v>
      </x:c>
      <x:c r="B7" s="11" t="n">
        <x:v>36</x:v>
      </x:c>
      <x:c r="C7" s="11" t="n">
        <x:v>33</x:v>
      </x:c>
      <x:c r="D7" s="11" t="n">
        <x:v>33</x:v>
      </x:c>
      <x:c r="E7" s="11" t="n">
        <x:v>33</x:v>
      </x:c>
      <x:c r="F7" s="16" t="n">
        <x:f>IFERROR(C7/B7,0)</x:f>
        <x:v>0.9166666666666666</x:v>
      </x:c>
      <x:c r="G7" s="16" t="n">
        <x:f>IFERROR(D7/B7,0)</x:f>
        <x:v>0.9166666666666666</x:v>
      </x:c>
      <x:c r="H7" s="16" t="n">
        <x:f>IFERROR(E7/B7,0)</x:f>
        <x:v>0.9166666666666666</x:v>
      </x:c>
      <x:c r="I7" s="16" t="n">
        <x:v>0.05952402235145807</x:v>
      </x:c>
      <x:c r="J7" s="16" t="n">
        <x:v>0.04523590456954658</x:v>
      </x:c>
    </x:row>
    <x:row r="8">
      <x:c r="A8" s="11" t="str">
        <x:v>xPatch</x:v>
      </x:c>
      <x:c r="B8" s="11" t="n">
        <x:v>36</x:v>
      </x:c>
      <x:c r="C8" s="11" t="n">
        <x:v>26</x:v>
      </x:c>
      <x:c r="D8" s="11" t="n">
        <x:v>13</x:v>
      </x:c>
      <x:c r="E8" s="11" t="n">
        <x:v>13</x:v>
      </x:c>
      <x:c r="F8" s="16" t="n">
        <x:f>IFERROR(C8/B8,0)</x:f>
        <x:v>0.7222222222222222</x:v>
      </x:c>
      <x:c r="G8" s="16" t="n">
        <x:f>IFERROR(D8/B8,0)</x:f>
        <x:v>0.3611111111111111</x:v>
      </x:c>
      <x:c r="H8" s="16" t="n">
        <x:f>IFERROR(E8/B8,0)</x:f>
        <x:v>0.3611111111111111</x:v>
      </x:c>
      <x:c r="I8" s="16" t="n">
        <x:v>0.05179475846821047</x:v>
      </x:c>
      <x:c r="J8" s="16" t="n">
        <x:v>-0.006130295077700425</x:v>
      </x:c>
    </x:row>
    <x:row r="9">
      <x:c r="A9" s="11" t="str">
        <x:v>iTransformer</x:v>
      </x:c>
      <x:c r="B9" s="11" t="n">
        <x:v>36</x:v>
      </x:c>
      <x:c r="C9" s="11" t="n">
        <x:v>32</x:v>
      </x:c>
      <x:c r="D9" s="11" t="n">
        <x:v>35</x:v>
      </x:c>
      <x:c r="E9" s="11" t="n">
        <x:v>31</x:v>
      </x:c>
      <x:c r="F9" s="16" t="n">
        <x:f>IFERROR(C9/B9,0)</x:f>
        <x:v>0.8888888888888888</x:v>
      </x:c>
      <x:c r="G9" s="16" t="n">
        <x:f>IFERROR(D9/B9,0)</x:f>
        <x:v>0.9722222222222222</x:v>
      </x:c>
      <x:c r="H9" s="16" t="n">
        <x:f>IFERROR(E9/B9,0)</x:f>
        <x:v>0.8611111111111112</x:v>
      </x:c>
      <x:c r="I9" s="16" t="n">
        <x:v>0.08631824935884243</x:v>
      </x:c>
      <x:c r="J9" s="16" t="n">
        <x:v>0.04900782805852935</x:v>
      </x:c>
    </x:row>
    <x:row r="10">
      <x:c r="A10" s="11" t="str">
        <x:v>TimeMixer</x:v>
      </x:c>
      <x:c r="B10" s="11" t="n">
        <x:v>36</x:v>
      </x:c>
      <x:c r="C10" s="11" t="n">
        <x:v>36</x:v>
      </x:c>
      <x:c r="D10" s="11" t="n">
        <x:v>36</x:v>
      </x:c>
      <x:c r="E10" s="11" t="n">
        <x:v>36</x:v>
      </x:c>
      <x:c r="F10" s="16" t="n">
        <x:f>IFERROR(C10/B10,0)</x:f>
        <x:v>1</x:v>
      </x:c>
      <x:c r="G10" s="16" t="n">
        <x:f>IFERROR(D10/B10,0)</x:f>
        <x:v>1</x:v>
      </x:c>
      <x:c r="H10" s="16" t="n">
        <x:f>IFERROR(E10/B10,0)</x:f>
        <x:v>1</x:v>
      </x:c>
      <x:c r="I10" s="16" t="n">
        <x:v>0.09084275590357034</x:v>
      </x:c>
      <x:c r="J10" s="16" t="n">
        <x:v>0.05956895370052982</x:v>
      </x:c>
    </x:row>
    <x:row r="11">
      <x:c r="A11" s="11" t="str">
        <x:v>PatchTST</x:v>
      </x:c>
      <x:c r="B11" s="11" t="n">
        <x:v>36</x:v>
      </x:c>
      <x:c r="C11" s="11" t="n">
        <x:v>33</x:v>
      </x:c>
      <x:c r="D11" s="11" t="n">
        <x:v>33</x:v>
      </x:c>
      <x:c r="E11" s="11" t="n">
        <x:v>33</x:v>
      </x:c>
      <x:c r="F11" s="16" t="n">
        <x:f>IFERROR(C11/B11,0)</x:f>
        <x:v>0.9166666666666666</x:v>
      </x:c>
      <x:c r="G11" s="16" t="n">
        <x:f>IFERROR(D11/B11,0)</x:f>
        <x:v>0.9166666666666666</x:v>
      </x:c>
      <x:c r="H11" s="16" t="n">
        <x:f>IFERROR(E11/B11,0)</x:f>
        <x:v>0.9166666666666666</x:v>
      </x:c>
      <x:c r="I11" s="16" t="n">
        <x:v>0.11202247262096256</x:v>
      </x:c>
      <x:c r="J11" s="16" t="n">
        <x:v>0.07049685154146916</x:v>
      </x:c>
    </x:row>
    <x:row r="12">
      <x:c r="A12" s="11" t="str">
        <x:v>DLinear</x:v>
      </x:c>
      <x:c r="B12" s="11" t="n">
        <x:v>36</x:v>
      </x:c>
      <x:c r="C12" s="11" t="n">
        <x:v>34</x:v>
      </x:c>
      <x:c r="D12" s="11" t="n">
        <x:v>36</x:v>
      </x:c>
      <x:c r="E12" s="11" t="n">
        <x:v>34</x:v>
      </x:c>
      <x:c r="F12" s="16" t="n">
        <x:f>IFERROR(C12/B12,0)</x:f>
        <x:v>0.9444444444444444</x:v>
      </x:c>
      <x:c r="G12" s="16" t="n">
        <x:f>IFERROR(D12/B12,0)</x:f>
        <x:v>1</x:v>
      </x:c>
      <x:c r="H12" s="16" t="n">
        <x:f>IFERROR(E12/B12,0)</x:f>
        <x:v>0.9444444444444444</x:v>
      </x:c>
      <x:c r="I12" s="16" t="n">
        <x:v>0.20873939305885075</x:v>
      </x:c>
      <x:c r="J12" s="16" t="n">
        <x:v>0.1792438567416296</x:v>
      </x:c>
    </x:row>
    <x:row r="13">
      <x:c r="A13" s="11" t="str">
        <x:v>FEDformer</x:v>
      </x:c>
      <x:c r="B13" s="11" t="n">
        <x:v>36</x:v>
      </x:c>
      <x:c r="C13" s="11" t="n">
        <x:v>36</x:v>
      </x:c>
      <x:c r="D13" s="11" t="n">
        <x:v>36</x:v>
      </x:c>
      <x:c r="E13" s="11" t="n">
        <x:v>36</x:v>
      </x:c>
      <x:c r="F13" s="16" t="n">
        <x:f>IFERROR(C13/B13,0)</x:f>
        <x:v>1</x:v>
      </x:c>
      <x:c r="G13" s="16" t="n">
        <x:f>IFERROR(D13/B13,0)</x:f>
        <x:v>1</x:v>
      </x:c>
      <x:c r="H13" s="16" t="n">
        <x:f>IFERROR(E13/B13,0)</x:f>
        <x:v>1</x:v>
      </x:c>
      <x:c r="I13" s="16" t="n">
        <x:v>0.22857217741781793</x:v>
      </x:c>
      <x:c r="J13" s="16" t="n">
        <x:v>0.20479271852707742</x:v>
      </x:c>
    </x:row>
  </x:sheetData>
  <x:mergeCells>
    <x:mergeCell ref="A1:J1"/>
  </x:mergeCells>
  <x:conditionalFormatting sqref="F4:H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</x:cols>
  <x:sheetData>
    <x:row r="1">
      <x:c r="A1" s="6" t="str">
        <x:v>九数据集平均性能对比（预测长度96/192/336/720的平均；空白=来源未报告）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10" t="str">
        <x:v>数据集</x:v>
      </x:c>
      <x:c r="B3" s="10" t="str">
        <x:v>E-Armor</x:v>
      </x:c>
      <x:c r="C3" s="10" t="str"/>
      <x:c r="D3" s="10" t="str">
        <x:v>EMAformer</x:v>
      </x:c>
      <x:c r="E3" s="10" t="str"/>
      <x:c r="F3" s="10" t="str">
        <x:v>DeepBooTS</x:v>
      </x:c>
      <x:c r="G3" s="10" t="str"/>
      <x:c r="H3" s="10" t="str">
        <x:v>SimpleTM</x:v>
      </x:c>
      <x:c r="I3" s="10" t="str"/>
      <x:c r="J3" s="10" t="str">
        <x:v>FilterTS</x:v>
      </x:c>
      <x:c r="K3" s="10" t="str"/>
      <x:c r="L3" s="10" t="str">
        <x:v>FACTS</x:v>
      </x:c>
      <x:c r="M3" s="10" t="str"/>
      <x:c r="N3" s="10" t="str">
        <x:v>iTransformer</x:v>
      </x:c>
      <x:c r="O3" s="10" t="str"/>
      <x:c r="P3" s="10" t="str">
        <x:v>PatchTST</x:v>
      </x:c>
      <x:c r="Q3" s="10" t="str"/>
      <x:c r="R3" s="10" t="str">
        <x:v>TimesNet</x:v>
      </x:c>
      <x:c r="S3" s="10" t="str"/>
      <x:c r="T3" s="10" t="str">
        <x:v>FEDformer</x:v>
      </x:c>
      <x:c r="U3" s="10" t="str"/>
    </x:row>
    <x:row r="4">
      <x:c r="A4" s="10" t="str"/>
      <x:c r="B4" s="10" t="str">
        <x:v>MSE</x:v>
      </x:c>
      <x:c r="C4" s="10" t="str">
        <x:v>MAE</x:v>
      </x:c>
      <x:c r="D4" s="10" t="str">
        <x:v>MSE</x:v>
      </x:c>
      <x:c r="E4" s="10" t="str">
        <x:v>MAE</x:v>
      </x:c>
      <x:c r="F4" s="10" t="str">
        <x:v>MSE</x:v>
      </x:c>
      <x:c r="G4" s="10" t="str">
        <x:v>MAE</x:v>
      </x:c>
      <x:c r="H4" s="10" t="str">
        <x:v>MSE</x:v>
      </x:c>
      <x:c r="I4" s="10" t="str">
        <x:v>MAE</x:v>
      </x:c>
      <x:c r="J4" s="10" t="str">
        <x:v>MSE</x:v>
      </x:c>
      <x:c r="K4" s="10" t="str">
        <x:v>MAE</x:v>
      </x:c>
      <x:c r="L4" s="10" t="str">
        <x:v>MSE</x:v>
      </x:c>
      <x:c r="M4" s="10" t="str">
        <x:v>MAE</x:v>
      </x:c>
      <x:c r="N4" s="10" t="str">
        <x:v>MSE</x:v>
      </x:c>
      <x:c r="O4" s="10" t="str">
        <x:v>MAE</x:v>
      </x:c>
      <x:c r="P4" s="10" t="str">
        <x:v>MSE</x:v>
      </x:c>
      <x:c r="Q4" s="10" t="str">
        <x:v>MAE</x:v>
      </x:c>
      <x:c r="R4" s="10" t="str">
        <x:v>MSE</x:v>
      </x:c>
      <x:c r="S4" s="10" t="str">
        <x:v>MAE</x:v>
      </x:c>
      <x:c r="T4" s="10" t="str">
        <x:v>MSE</x:v>
      </x:c>
      <x:c r="U4" s="10" t="str">
        <x:v>MAE</x:v>
      </x:c>
    </x:row>
    <x:row r="5">
      <x:c r="A5" s="11" t="str">
        <x:v>ETTh1</x:v>
      </x:c>
      <x:c r="B5" s="19" t="n">
        <x:v>0.4125744625926018</x:v>
      </x:c>
      <x:c r="C5" s="19" t="n">
        <x:v>0.4229412153363228</x:v>
      </x:c>
      <x:c r="D5" s="17" t="n">
        <x:v>0.431</x:v>
      </x:c>
      <x:c r="E5" s="17" t="n">
        <x:v>0.423</x:v>
      </x:c>
      <x:c r="F5" s="17" t="n">
        <x:v>0.439</x:v>
      </x:c>
      <x:c r="G5" s="17" t="n">
        <x:v>0.437</x:v>
      </x:c>
      <x:c r="H5" s="17" t="n">
        <x:v>0.422</x:v>
      </x:c>
      <x:c r="I5" s="17" t="n">
        <x:v>0.428</x:v>
      </x:c>
      <x:c r="J5" s="17" t="n">
        <x:v>0.433</x:v>
      </x:c>
      <x:c r="K5" s="17" t="n">
        <x:v>0.429</x:v>
      </x:c>
      <x:c r="L5" s="17" t="n">
        <x:v>0.44</x:v>
      </x:c>
      <x:c r="M5" s="17" t="n">
        <x:v>0.428</x:v>
      </x:c>
      <x:c r="N5" s="17" t="n">
        <x:v>0.454</x:v>
      </x:c>
      <x:c r="O5" s="17" t="n">
        <x:v>0.445</x:v>
      </x:c>
      <x:c r="P5" s="17" t="n">
        <x:v>0.46</x:v>
      </x:c>
      <x:c r="Q5" s="17" t="n">
        <x:v>0.452</x:v>
      </x:c>
      <x:c r="R5" s="17" t="n">
        <x:v>0.458</x:v>
      </x:c>
      <x:c r="S5" s="17" t="n">
        <x:v>0.45</x:v>
      </x:c>
      <x:c r="T5" s="17" t="n">
        <x:v>0.44</x:v>
      </x:c>
      <x:c r="U5" s="17" t="n">
        <x:v>0.46</x:v>
      </x:c>
    </x:row>
    <x:row r="6">
      <x:c r="A6" s="11" t="str">
        <x:v>ETTm1</x:v>
      </x:c>
      <x:c r="B6" s="19" t="n">
        <x:v>0.36577364802360535</x:v>
      </x:c>
      <x:c r="C6" s="17" t="n">
        <x:v>0.3873673751950264</x:v>
      </x:c>
      <x:c r="D6" s="17" t="n">
        <x:v>0.38</x:v>
      </x:c>
      <x:c r="E6" s="19" t="n">
        <x:v>0.379</x:v>
      </x:c>
      <x:c r="F6" s="17" t="n">
        <x:v>0.383</x:v>
      </x:c>
      <x:c r="G6" s="17" t="n">
        <x:v>0.396</x:v>
      </x:c>
      <x:c r="H6" s="17" t="n">
        <x:v>0.381</x:v>
      </x:c>
      <x:c r="I6" s="17" t="n">
        <x:v>0.396</x:v>
      </x:c>
      <x:c r="J6" s="17" t="n">
        <x:v>0.385</x:v>
      </x:c>
      <x:c r="K6" s="17" t="n">
        <x:v>0.396</x:v>
      </x:c>
      <x:c r="L6" s="17" t="n">
        <x:v>0.392</x:v>
      </x:c>
      <x:c r="M6" s="17" t="n">
        <x:v>0.397</x:v>
      </x:c>
      <x:c r="N6" s="17" t="n">
        <x:v>0.407</x:v>
      </x:c>
      <x:c r="O6" s="17" t="n">
        <x:v>0.409</x:v>
      </x:c>
      <x:c r="P6" s="17" t="n">
        <x:v>0.387</x:v>
      </x:c>
      <x:c r="Q6" s="17" t="n">
        <x:v>0.4</x:v>
      </x:c>
      <x:c r="R6" s="17" t="n">
        <x:v>0.4</x:v>
      </x:c>
      <x:c r="S6" s="17" t="n">
        <x:v>0.406</x:v>
      </x:c>
      <x:c r="T6" s="17" t="n">
        <x:v>0.448</x:v>
      </x:c>
      <x:c r="U6" s="17" t="n">
        <x:v>0.452</x:v>
      </x:c>
    </x:row>
    <x:row r="7">
      <x:c r="A7" s="11" t="str">
        <x:v>ETTh2</x:v>
      </x:c>
      <x:c r="B7" s="19" t="n">
        <x:v>0.3490769863128662</x:v>
      </x:c>
      <x:c r="C7" s="19" t="n">
        <x:v>0.38763727247714996</x:v>
      </x:c>
      <x:c r="D7" s="17" t="n">
        <x:v>0.373</x:v>
      </x:c>
      <x:c r="E7" s="17" t="n">
        <x:v>0.394</x:v>
      </x:c>
      <x:c r="F7" s="17" t="n">
        <x:v>0.38</x:v>
      </x:c>
      <x:c r="G7" s="17" t="n">
        <x:v>0.403</x:v>
      </x:c>
      <x:c r="H7" s="17" t="n">
        <x:v>0.353</x:v>
      </x:c>
      <x:c r="I7" s="17" t="n">
        <x:v>0.391</x:v>
      </x:c>
      <x:c r="J7" s="17" t="n">
        <x:v>0.372</x:v>
      </x:c>
      <x:c r="K7" s="17" t="n">
        <x:v>0.396</x:v>
      </x:c>
      <x:c r="L7" s="17" t="n">
        <x:v>0.373</x:v>
      </x:c>
      <x:c r="M7" s="17" t="n">
        <x:v>0.399</x:v>
      </x:c>
      <x:c r="N7" s="17" t="n">
        <x:v>0.383</x:v>
      </x:c>
      <x:c r="O7" s="17" t="n">
        <x:v>0.406</x:v>
      </x:c>
      <x:c r="P7" s="17" t="n">
        <x:v>0.38675</x:v>
      </x:c>
      <x:c r="Q7" s="17" t="n">
        <x:v>0.40675</x:v>
      </x:c>
      <x:c r="R7" s="17" t="n">
        <x:v>0.414</x:v>
      </x:c>
      <x:c r="S7" s="17" t="n">
        <x:v>0.427</x:v>
      </x:c>
      <x:c r="T7" s="17" t="n">
        <x:v>0.437</x:v>
      </x:c>
      <x:c r="U7" s="17" t="n">
        <x:v>0.449</x:v>
      </x:c>
    </x:row>
    <x:row r="8">
      <x:c r="A8" s="11" t="str">
        <x:v>ETTm2</x:v>
      </x:c>
      <x:c r="B8" s="19" t="n">
        <x:v>0.2688347287476063</x:v>
      </x:c>
      <x:c r="C8" s="17" t="n">
        <x:v>0.3157348372042179</x:v>
      </x:c>
      <x:c r="D8" s="17" t="n">
        <x:v>0.27</x:v>
      </x:c>
      <x:c r="E8" s="19" t="n">
        <x:v>0.312</x:v>
      </x:c>
      <x:c r="F8" s="17" t="n">
        <x:v>0.283</x:v>
      </x:c>
      <x:c r="G8" s="17" t="n">
        <x:v>0.327</x:v>
      </x:c>
      <x:c r="H8" s="17" t="n">
        <x:v>0.275</x:v>
      </x:c>
      <x:c r="I8" s="17" t="n">
        <x:v>0.322</x:v>
      </x:c>
      <x:c r="J8" s="17" t="n">
        <x:v>0.276</x:v>
      </x:c>
      <x:c r="K8" s="17" t="n">
        <x:v>0.336</x:v>
      </x:c>
      <x:c r="L8" s="17" t="n">
        <x:v>0.281</x:v>
      </x:c>
      <x:c r="M8" s="17" t="n">
        <x:v>0.325</x:v>
      </x:c>
      <x:c r="N8" s="17" t="n">
        <x:v>0.288</x:v>
      </x:c>
      <x:c r="O8" s="17" t="n">
        <x:v>0.331</x:v>
      </x:c>
      <x:c r="P8" s="17" t="n">
        <x:v>0.28</x:v>
      </x:c>
      <x:c r="Q8" s="17" t="n">
        <x:v>0.326</x:v>
      </x:c>
      <x:c r="R8" s="17" t="n">
        <x:v>0.291</x:v>
      </x:c>
      <x:c r="S8" s="17" t="n">
        <x:v>0.333</x:v>
      </x:c>
      <x:c r="T8" s="17" t="n">
        <x:v>0.305</x:v>
      </x:c>
      <x:c r="U8" s="17" t="n">
        <x:v>0.349</x:v>
      </x:c>
    </x:row>
    <x:row r="9">
      <x:c r="A9" s="11" t="str">
        <x:v>ECL</x:v>
      </x:c>
      <x:c r="B9" s="19" t="n">
        <x:v>0.15624356269836426</x:v>
      </x:c>
      <x:c r="C9" s="17" t="n">
        <x:v>0.2523624338209629</x:v>
      </x:c>
      <x:c r="D9" s="17" t="n">
        <x:v>0.158</x:v>
      </x:c>
      <x:c r="E9" s="19" t="n">
        <x:v>0.246</x:v>
      </x:c>
      <x:c r="F9" s="17" t="n">
        <x:v>0.166</x:v>
      </x:c>
      <x:c r="G9" s="17" t="n">
        <x:v>0.259</x:v>
      </x:c>
      <x:c r="H9" s="17" t="n">
        <x:v>0.166</x:v>
      </x:c>
      <x:c r="I9" s="17" t="n">
        <x:v>0.26</x:v>
      </x:c>
      <x:c r="J9" s="17" t="n">
        <x:v>0.179</x:v>
      </x:c>
      <x:c r="K9" s="17" t="n">
        <x:v>0.271</x:v>
      </x:c>
      <x:c r="L9" s="17" t="n">
        <x:v>0.166</x:v>
      </x:c>
      <x:c r="M9" s="17" t="n">
        <x:v>0.263</x:v>
      </x:c>
      <x:c r="N9" s="17" t="n">
        <x:v>0.178</x:v>
      </x:c>
      <x:c r="O9" s="17" t="n">
        <x:v>0.269</x:v>
      </x:c>
      <x:c r="P9" s="17" t="n">
        <x:v>0.204</x:v>
      </x:c>
      <x:c r="Q9" s="17" t="n">
        <x:v>0.29</x:v>
      </x:c>
      <x:c r="R9" s="17" t="n">
        <x:v>0.192</x:v>
      </x:c>
      <x:c r="S9" s="17" t="n">
        <x:v>0.295</x:v>
      </x:c>
      <x:c r="T9" s="17" t="n">
        <x:v>0.214</x:v>
      </x:c>
      <x:c r="U9" s="17" t="n">
        <x:v>0.327</x:v>
      </x:c>
    </x:row>
    <x:row r="10">
      <x:c r="A10" s="11" t="str">
        <x:v>Weather</x:v>
      </x:c>
      <x:c r="B10" s="19" t="n">
        <x:v>0.2356385700404644</x:v>
      </x:c>
      <x:c r="C10" s="17" t="n">
        <x:v>0.26461758837103844</x:v>
      </x:c>
      <x:c r="D10" s="17" t="n">
        <x:v>0.24</x:v>
      </x:c>
      <x:c r="E10" s="19" t="n">
        <x:v>0.262</x:v>
      </x:c>
      <x:c r="F10" s="17" t="n">
        <x:v>0.245</x:v>
      </x:c>
      <x:c r="G10" s="17" t="n">
        <x:v>0.271</x:v>
      </x:c>
      <x:c r="H10" s="17" t="n">
        <x:v>0.243</x:v>
      </x:c>
      <x:c r="I10" s="17" t="n">
        <x:v>0.271</x:v>
      </x:c>
      <x:c r="J10" s="17" t="n">
        <x:v>0.244</x:v>
      </x:c>
      <x:c r="K10" s="17" t="n">
        <x:v>0.273</x:v>
      </x:c>
      <x:c r="L10" s="17" t="n">
        <x:v>0.251</x:v>
      </x:c>
      <x:c r="M10" s="17" t="n">
        <x:v>0.278</x:v>
      </x:c>
      <x:c r="N10" s="17" t="n">
        <x:v>0.257</x:v>
      </x:c>
      <x:c r="O10" s="17" t="n">
        <x:v>0.277</x:v>
      </x:c>
      <x:c r="P10" s="17" t="n">
        <x:v>0.258</x:v>
      </x:c>
      <x:c r="Q10" s="17" t="n">
        <x:v>0.28</x:v>
      </x:c>
      <x:c r="R10" s="17" t="n">
        <x:v>0.259</x:v>
      </x:c>
      <x:c r="S10" s="17" t="n">
        <x:v>0.287</x:v>
      </x:c>
      <x:c r="T10" s="17" t="n">
        <x:v>0.309</x:v>
      </x:c>
      <x:c r="U10" s="17" t="n">
        <x:v>0.36</x:v>
      </x:c>
    </x:row>
    <x:row r="11">
      <x:c r="A11" s="11" t="str">
        <x:v>Solar</x:v>
      </x:c>
      <x:c r="B11" s="19" t="n">
        <x:v>0.18293531239032745</x:v>
      </x:c>
      <x:c r="C11" s="17" t="n">
        <x:v>0.24240921437740326</x:v>
      </x:c>
      <x:c r="D11" s="17" t="n">
        <x:v>0.197</x:v>
      </x:c>
      <x:c r="E11" s="19" t="n">
        <x:v>0.224</x:v>
      </x:c>
      <x:c r="F11" s="17" t="n">
        <x:v>0.227</x:v>
      </x:c>
      <x:c r="G11" s="17" t="n">
        <x:v>0.25</x:v>
      </x:c>
      <x:c r="H11" s="17" t="n">
        <x:v>0.184</x:v>
      </x:c>
      <x:c r="I11" s="17" t="n">
        <x:v>0.247</x:v>
      </x:c>
      <x:c r="J11" s="17" t="n">
        <x:v>0.207</x:v>
      </x:c>
      <x:c r="K11" s="17" t="n">
        <x:v>0.255</x:v>
      </x:c>
      <x:c r="L11" s="17" t="n">
        <x:v>0.253</x:v>
      </x:c>
      <x:c r="M11" s="17" t="n">
        <x:v>0.272</x:v>
      </x:c>
      <x:c r="N11" s="17" t="n">
        <x:v>0.233</x:v>
      </x:c>
      <x:c r="O11" s="17" t="n">
        <x:v>0.262</x:v>
      </x:c>
      <x:c r="P11" s="17" t="n">
        <x:v>0.254</x:v>
      </x:c>
      <x:c r="Q11" s="17" t="n">
        <x:v>0.289</x:v>
      </x:c>
      <x:c r="R11" s="17" t="n">
        <x:v>0.301</x:v>
      </x:c>
      <x:c r="S11" s="17" t="n">
        <x:v>0.319</x:v>
      </x:c>
      <x:c r="T11" s="17" t="n">
        <x:v>0.291</x:v>
      </x:c>
      <x:c r="U11" s="17" t="n">
        <x:v>0.381</x:v>
      </x:c>
    </x:row>
    <x:row r="12">
      <x:c r="A12" s="11" t="str">
        <x:v>Exchange</x:v>
      </x:c>
      <x:c r="B12" s="17" t="n">
        <x:v>0.34447265788912773</x:v>
      </x:c>
      <x:c r="C12" s="17" t="n">
        <x:v>0.3964971676468849</x:v>
      </x:c>
      <x:c r="D12" s="17" t="n">
        <x:v>0.355</x:v>
      </x:c>
      <x:c r="E12" s="17" t="n">
        <x:v>0.401</x:v>
      </x:c>
      <x:c r="F12" s="17"/>
      <x:c r="G12" s="17"/>
      <x:c r="H12" s="17" t="n">
        <x:v>0.368</x:v>
      </x:c>
      <x:c r="I12" s="17" t="n">
        <x:v>0.408</x:v>
      </x:c>
      <x:c r="J12" s="17" t="n">
        <x:v>0.352</x:v>
      </x:c>
      <x:c r="K12" s="17" t="n">
        <x:v>0.397</x:v>
      </x:c>
      <x:c r="L12" s="19" t="n">
        <x:v>0.342</x:v>
      </x:c>
      <x:c r="M12" s="19" t="n">
        <x:v>0.392</x:v>
      </x:c>
      <x:c r="N12" s="17" t="n">
        <x:v>0.36</x:v>
      </x:c>
      <x:c r="O12" s="17" t="n">
        <x:v>0.403</x:v>
      </x:c>
      <x:c r="P12" s="17" t="n">
        <x:v>0.364</x:v>
      </x:c>
      <x:c r="Q12" s="17" t="n">
        <x:v>0.4</x:v>
      </x:c>
      <x:c r="R12" s="17" t="n">
        <x:v>0.416</x:v>
      </x:c>
      <x:c r="S12" s="17" t="n">
        <x:v>0.443</x:v>
      </x:c>
      <x:c r="T12" s="17" t="n">
        <x:v>0.499</x:v>
      </x:c>
      <x:c r="U12" s="17" t="n">
        <x:v>0.511</x:v>
      </x:c>
    </x:row>
    <x:row r="13">
      <x:c r="A13" s="11" t="str">
        <x:v>Traffic</x:v>
      </x:c>
      <x:c r="B13" s="17" t="n">
        <x:v>0.43810657411813736</x:v>
      </x:c>
      <x:c r="C13" s="17" t="n">
        <x:v>0.27074164152145386</x:v>
      </x:c>
      <x:c r="D13" s="17" t="n">
        <x:v>0.431</x:v>
      </x:c>
      <x:c r="E13" s="19" t="n">
        <x:v>0.254</x:v>
      </x:c>
      <x:c r="F13" s="19" t="n">
        <x:v>0.406</x:v>
      </x:c>
      <x:c r="G13" s="17" t="n">
        <x:v>0.2695</x:v>
      </x:c>
      <x:c r="H13" s="17" t="n">
        <x:v>0.443</x:v>
      </x:c>
      <x:c r="I13" s="17" t="n">
        <x:v>0.288</x:v>
      </x:c>
      <x:c r="J13" s="17" t="n">
        <x:v>0.47</x:v>
      </x:c>
      <x:c r="K13" s="17" t="n">
        <x:v>0.315</x:v>
      </x:c>
      <x:c r="L13" s="17" t="n">
        <x:v>0.472</x:v>
      </x:c>
      <x:c r="M13" s="17" t="n">
        <x:v>0.303</x:v>
      </x:c>
      <x:c r="N13" s="17" t="n">
        <x:v>0.428</x:v>
      </x:c>
      <x:c r="O13" s="17" t="n">
        <x:v>0.282</x:v>
      </x:c>
      <x:c r="P13" s="17" t="n">
        <x:v>0.481</x:v>
      </x:c>
      <x:c r="Q13" s="17" t="n">
        <x:v>0.304</x:v>
      </x:c>
      <x:c r="R13" s="17" t="n">
        <x:v>0.62</x:v>
      </x:c>
      <x:c r="S13" s="17" t="n">
        <x:v>0.336</x:v>
      </x:c>
      <x:c r="T13" s="17" t="n">
        <x:v>0.61</x:v>
      </x:c>
      <x:c r="U13" s="17" t="n">
        <x:v>0.376</x:v>
      </x:c>
    </x:row>
  </x:sheetData>
  <x:mergeCells>
    <x:mergeCell ref="A1:U1"/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65" hidden="0" customWidth="1"/>
    <x:col min="3" max="3" width="22" hidden="0" customWidth="1"/>
    <x:col min="4" max="4" width="52" hidden="0" customWidth="1"/>
  </x:cols>
  <x:sheetData>
    <x:row r="1">
      <x:c r="A1" s="6" t="str">
        <x:v>来源、可比性与使用限制</x:v>
      </x:c>
      <x:c r="B1" s="6"/>
      <x:c r="C1" s="6"/>
      <x:c r="D1" s="6"/>
    </x:row>
    <x:row r="2">
      <x:c r="A2" s="3"/>
      <x:c r="B2" s="3"/>
      <x:c r="C2" s="3"/>
      <x:c r="D2" s="3"/>
    </x:row>
    <x:row r="3">
      <x:c r="A3" s="10" t="str">
        <x:v>模型</x:v>
      </x:c>
      <x:c r="B3" s="10" t="str">
        <x:v>首要来源</x:v>
      </x:c>
      <x:c r="C3" s="10" t="str">
        <x:v>录用证据</x:v>
      </x:c>
      <x:c r="D3" s="10" t="str">
        <x:v>数据限制/正式写作注意事项</x:v>
      </x:c>
    </x:row>
    <x:row r="4">
      <x:c r="A4" s="11" t="str">
        <x:v>EMAformer</x:v>
      </x:c>
      <x:c r="B4" s="11" t="str">
        <x:v>https://ojs.aaai.org/index.php/AAAI/article/download/40095/44056</x:v>
      </x:c>
      <x:c r="C4" s="11" t="str">
        <x:v>AAAI 2026论文</x:v>
      </x:c>
      <x:c r="D4" s="11" t="str">
        <x:v>官方表覆盖8个项目数据集；本地Exchange为复现值</x:v>
      </x:c>
    </x:row>
    <x:row r="5">
      <x:c r="A5" s="11" t="str">
        <x:v>DeepBooTS</x:v>
      </x:c>
      <x:c r="B5" s="11" t="str">
        <x:v>https://ojs.aaai.org/index.php/AAAI/article/download/39509/43470</x:v>
      </x:c>
      <x:c r="C5" s="11" t="str">
        <x:v>AAAI 2026论文</x:v>
      </x:c>
      <x:c r="D5" s="11" t="str">
        <x:v>官方结果缺Exchange；不要将空值计为0</x:v>
      </x:c>
    </x:row>
    <x:row r="6">
      <x:c r="A6" s="11" t="str">
        <x:v>SimpleTM</x:v>
      </x:c>
      <x:c r="B6" s="11" t="str">
        <x:v>https://proceedings.iclr.cc/paper_files/paper/2025/hash/27c546ab1e4f1d7d638e6a8dfbad9a07-Abstract-Conference.html</x:v>
      </x:c>
      <x:c r="C6" s="11" t="str">
        <x:v>ICLR 2025正式论文</x:v>
      </x:c>
      <x:c r="D6" s="11" t="str">
        <x:v>本地表含9数据集×4预测长度</x:v>
      </x:c>
    </x:row>
    <x:row r="7">
      <x:c r="A7" s="11" t="str">
        <x:v>FilterTS</x:v>
      </x:c>
      <x:c r="B7" s="11" t="str">
        <x:v>https://ojs.aaai.org/index.php/AAAI/article/download/35438/37593</x:v>
      </x:c>
      <x:c r="C7" s="11" t="str">
        <x:v>AAAI 2025论文</x:v>
      </x:c>
      <x:c r="D7" s="11" t="str">
        <x:v>论文主表为8个数据集；本地补有Exchange复现</x:v>
      </x:c>
    </x:row>
    <x:row r="8">
      <x:c r="A8" s="11" t="str">
        <x:v>FACTS</x:v>
      </x:c>
      <x:c r="B8" s="11" t="str">
        <x:v>https://proceedings.iclr.cc/paper_files/paper/2025/hash/ac58b418745b3e5f10c80110c963969f-Abstract-Conference.html</x:v>
      </x:c>
      <x:c r="C8" s="11" t="str">
        <x:v>ICLR 2025正式论文</x:v>
      </x:c>
      <x:c r="D8" s="11" t="str">
        <x:v>论文表含项目9数据集AVG MSE/MAE；用于本表均值对比</x:v>
      </x:c>
    </x:row>
    <x:row r="9">
      <x:c r="A9" s="11" t="str">
        <x:v>iTransformer</x:v>
      </x:c>
      <x:c r="B9" s="11" t="str">
        <x:v>https://openreview.net/forum?id=JePfAI8fah</x:v>
      </x:c>
      <x:c r="C9" s="11" t="str">
        <x:v>ICLR 2024正式论文</x:v>
      </x:c>
      <x:c r="D9" s="11" t="str">
        <x:v>九数据集完整，主流强基线</x:v>
      </x:c>
    </x:row>
    <x:row r="10">
      <x:c r="A10" s="11" t="str">
        <x:v>PatchTST</x:v>
      </x:c>
      <x:c r="B10" s="11" t="str">
        <x:v>https://openreview.net/forum?id=Jbdc0vTOcol</x:v>
      </x:c>
      <x:c r="C10" s="11" t="str">
        <x:v>ICLR 2023正式论文</x:v>
      </x:c>
      <x:c r="D10" s="11" t="str">
        <x:v>九数据集结果可由后续统一表核对</x:v>
      </x:c>
    </x:row>
    <x:row r="11">
      <x:c r="A11" s="11" t="str">
        <x:v>TimesNet</x:v>
      </x:c>
      <x:c r="B11" s="11" t="str">
        <x:v>https://openreview.net/forum?id=ju_Uqw384Oq</x:v>
      </x:c>
      <x:c r="C11" s="11" t="str">
        <x:v>ICLR 2023正式论文</x:v>
      </x:c>
      <x:c r="D11" s="11" t="str">
        <x:v>本表AVG取FACTS/EMAformer统一比较表；加入正式稿需回溯全量表</x:v>
      </x:c>
    </x:row>
    <x:row r="12">
      <x:c r="A12" s="11" t="str">
        <x:v>FEDformer</x:v>
      </x:c>
      <x:c r="B12" s="11" t="str">
        <x:v>https://proceedings.mlr.press/v162/zhou22g.html</x:v>
      </x:c>
      <x:c r="C12" s="11" t="str">
        <x:v>ICML 2022正式论文</x:v>
      </x:c>
      <x:c r="D12" s="11" t="str">
        <x:v>原论文数据集较少；本地九数据集值为后续统一基准汇总</x:v>
      </x:c>
    </x:row>
    <x:row r="13">
      <x:c r="A13" s="11" t="str">
        <x:v>本项目</x:v>
      </x:c>
      <x:c r="B13" s="11" t="str">
        <x:v>results/experiment_results.xlsx</x:v>
      </x:c>
      <x:c r="C13" s="11" t="str">
        <x:v>本地实验汇总</x:v>
      </x:c>
      <x:c r="D13" s="11" t="str">
        <x:v>E-Armor列为日志最优结果；本表不改原文件</x:v>
      </x:c>
    </x:row>
    <x:row r="14">
      <x:c r="A14" s="3"/>
      <x:c r="B14" s="3"/>
      <x:c r="C14" s="3"/>
      <x:c r="D14" s="3"/>
    </x:row>
    <x:row r="15">
      <x:c r="A15" s="20" t="str">
        <x:v>重要：不同论文的输入长度、归一化、随机种子和实现版本可能不同。正式论文主表应优先采用同一代码库复现结果；原论文数值可作交叉核验，不应无说明混合排序。</x:v>
      </x:c>
      <x:c r="B15" s="20"/>
      <x:c r="C15" s="20"/>
      <x:c r="D15" s="20"/>
    </x:row>
  </x:sheetData>
  <x:mergeCells>
    <x:mergeCell ref="A1:D1"/>
    <x:mergeCell ref="A15:D15"/>
  </x:mergeCells>
  <x:pageMargins left="0.7" right="0.7" top="0.75" bottom="0.75" header="0.3" footer="0.3"/>
</x:worksheet>
</file>