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CodexPlace\Paper\results\"/>
    </mc:Choice>
  </mc:AlternateContent>
  <xr:revisionPtr revIDLastSave="0" documentId="13_ncr:1_{85960186-35E2-4BDD-8FF3-0550B6840645}" xr6:coauthVersionLast="47" xr6:coauthVersionMax="47" xr10:uidLastSave="{00000000-0000-0000-0000-000000000000}"/>
  <bookViews>
    <workbookView xWindow="-120" yWindow="-120" windowWidth="29040" windowHeight="15720" xr2:uid="{A48CE7DE-C994-4FF0-933D-7A6BBA2A09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F4" i="1"/>
  <c r="F5" i="1"/>
  <c r="F6" i="1"/>
  <c r="F8" i="1"/>
  <c r="F9" i="1"/>
  <c r="F10" i="1"/>
  <c r="F11" i="1"/>
  <c r="F13" i="1"/>
  <c r="F14" i="1"/>
  <c r="F15" i="1"/>
  <c r="F16" i="1"/>
  <c r="F18" i="1"/>
  <c r="F19" i="1"/>
  <c r="F20" i="1"/>
  <c r="F21" i="1"/>
  <c r="F23" i="1"/>
  <c r="F24" i="1"/>
  <c r="F25" i="1"/>
  <c r="F26" i="1"/>
  <c r="F28" i="1"/>
  <c r="F29" i="1"/>
  <c r="F30" i="1"/>
  <c r="F31" i="1"/>
  <c r="F33" i="1"/>
  <c r="F34" i="1"/>
  <c r="F35" i="1"/>
  <c r="F36" i="1"/>
  <c r="F38" i="1"/>
  <c r="F39" i="1"/>
  <c r="F40" i="1"/>
  <c r="F41" i="1"/>
  <c r="F3" i="1"/>
  <c r="D4" i="1"/>
  <c r="D5" i="1"/>
  <c r="D6" i="1"/>
  <c r="D8" i="1"/>
  <c r="D9" i="1"/>
  <c r="D10" i="1"/>
  <c r="D11" i="1"/>
  <c r="D13" i="1"/>
  <c r="D14" i="1"/>
  <c r="D15" i="1"/>
  <c r="D16" i="1"/>
  <c r="D18" i="1"/>
  <c r="D19" i="1"/>
  <c r="D20" i="1"/>
  <c r="D21" i="1"/>
  <c r="D23" i="1"/>
  <c r="D24" i="1"/>
  <c r="D25" i="1"/>
  <c r="D26" i="1"/>
  <c r="D28" i="1"/>
  <c r="D29" i="1"/>
  <c r="D30" i="1"/>
  <c r="D31" i="1"/>
  <c r="D33" i="1"/>
  <c r="D34" i="1"/>
  <c r="D35" i="1"/>
  <c r="D36" i="1"/>
  <c r="D38" i="1"/>
  <c r="D39" i="1"/>
  <c r="D40" i="1"/>
  <c r="D41" i="1"/>
  <c r="D3" i="1"/>
  <c r="E42" i="1"/>
  <c r="F42" i="1" s="1"/>
  <c r="C42" i="1"/>
  <c r="D42" i="1" s="1"/>
  <c r="E37" i="1"/>
  <c r="F37" i="1" s="1"/>
  <c r="C37" i="1"/>
  <c r="D37" i="1" s="1"/>
  <c r="E32" i="1"/>
  <c r="F32" i="1" s="1"/>
  <c r="C32" i="1"/>
  <c r="D32" i="1" s="1"/>
  <c r="E27" i="1"/>
  <c r="F27" i="1" s="1"/>
  <c r="C27" i="1"/>
  <c r="D27" i="1" s="1"/>
  <c r="E22" i="1"/>
  <c r="F22" i="1" s="1"/>
  <c r="C22" i="1"/>
  <c r="D22" i="1" s="1"/>
  <c r="E17" i="1"/>
  <c r="F17" i="1" s="1"/>
  <c r="C17" i="1"/>
  <c r="D17" i="1" s="1"/>
  <c r="E12" i="1"/>
  <c r="F12" i="1" s="1"/>
  <c r="C12" i="1"/>
  <c r="D12" i="1" s="1"/>
  <c r="E7" i="1"/>
  <c r="F7" i="1" s="1"/>
  <c r="C7" i="1"/>
  <c r="D7" i="1" s="1"/>
</calcChain>
</file>

<file path=xl/sharedStrings.xml><?xml version="1.0" encoding="utf-8"?>
<sst xmlns="http://schemas.openxmlformats.org/spreadsheetml/2006/main" count="52" uniqueCount="24">
  <si>
    <t>AVG</t>
  </si>
  <si>
    <t>MSE</t>
    <phoneticPr fontId="3" type="noConversion"/>
  </si>
  <si>
    <t>MAE</t>
    <phoneticPr fontId="3" type="noConversion"/>
  </si>
  <si>
    <t>Prediction Length</t>
  </si>
  <si>
    <t>Dataset</t>
    <phoneticPr fontId="3" type="noConversion"/>
  </si>
  <si>
    <t>ETTh1</t>
    <phoneticPr fontId="3" type="noConversion"/>
  </si>
  <si>
    <t>ETTm1</t>
    <phoneticPr fontId="3" type="noConversion"/>
  </si>
  <si>
    <t>ETTh2</t>
    <phoneticPr fontId="3" type="noConversion"/>
  </si>
  <si>
    <t>ETTm2</t>
    <phoneticPr fontId="3" type="noConversion"/>
  </si>
  <si>
    <t>ECL</t>
    <phoneticPr fontId="3" type="noConversion"/>
  </si>
  <si>
    <t>Weather</t>
    <phoneticPr fontId="3" type="noConversion"/>
  </si>
  <si>
    <t>Solar</t>
    <phoneticPr fontId="3" type="noConversion"/>
  </si>
  <si>
    <t>Exchange</t>
    <phoneticPr fontId="3" type="noConversion"/>
  </si>
  <si>
    <t>EMAformer</t>
    <phoneticPr fontId="3" type="noConversion"/>
  </si>
  <si>
    <t>DeepBooTS</t>
    <phoneticPr fontId="3" type="noConversion"/>
  </si>
  <si>
    <t>SimpleTM</t>
    <phoneticPr fontId="3" type="noConversion"/>
  </si>
  <si>
    <t>FilterTS</t>
    <phoneticPr fontId="3" type="noConversion"/>
  </si>
  <si>
    <t>iTransformer</t>
    <phoneticPr fontId="3" type="noConversion"/>
  </si>
  <si>
    <t>TimeMixer</t>
    <phoneticPr fontId="3" type="noConversion"/>
  </si>
  <si>
    <t>PatchTST</t>
    <phoneticPr fontId="3" type="noConversion"/>
  </si>
  <si>
    <t>Dlinear</t>
    <phoneticPr fontId="3" type="noConversion"/>
  </si>
  <si>
    <t>FEDformer</t>
    <phoneticPr fontId="3" type="noConversion"/>
  </si>
  <si>
    <t>xPatch</t>
    <phoneticPr fontId="3" type="noConversion"/>
  </si>
  <si>
    <t>Traffic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</si>
</sst>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"/>
    <numFmt numFmtId="177" formatCode="0.00000"/>
    <numFmt numFmtId="178" formatCode="0.000"/>
    <numFmt numFmtId="179" formatCode="0.000_ "/>
  </numFmts>
  <fonts count="7" x14ac:knownFonts="1">
    <font>
      <sz val="11"/>
      <color theme="1"/>
      <name val="等线"/>
      <family val="2"/>
      <charset val="134"/>
      <scheme val="minor"/>
    </font>
    <font>
      <sz val="11"/>
      <name val="Carlito"/>
    </font>
    <font>
      <sz val="10"/>
      <color rgb="FF222222"/>
      <name val="Arial"/>
      <family val="2"/>
    </font>
    <font>
      <sz val="9"/>
      <name val="等线"/>
      <family val="2"/>
      <charset val="134"/>
      <scheme val="minor"/>
    </font>
    <font>
      <sz val="11"/>
      <color theme="1"/>
      <name val="Arial"/>
      <family val="2"/>
    </font>
    <font>
      <sz val="1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2">
    <xf numFmtId="0" fontId="0" fillId="0" borderId="0" xfId="0">
      <alignment vertical="center"/>
    </xf>
    <xf numFmtId="0" fontId="2" fillId="0" borderId="1" xfId="1" applyFont="1" applyBorder="1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176" fontId="2" fillId="2" borderId="2" xfId="1" applyNumberFormat="1" applyFont="1" applyFill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2" fillId="0" borderId="1" xfId="1" applyNumberFormat="1" applyFont="1" applyBorder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1" xr:uid="{4C4164DA-4D3F-40A2-817C-9685DEFDCDD5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2DFD3-BCDC-4725-8E66-D920EBEA03F0}">
  <dimension ref="A1:Z47"/>
  <sheetViews>
    <sheetView tabSelected="1" zoomScale="85" zoomScaleNormal="85" workbookViewId="0">
      <selection activeCell="R24" sqref="R24"/>
    </sheetView>
  </sheetViews>
  <sheetFormatPr defaultRowHeight="14.25" x14ac:dyDescent="0.2"/>
  <cols>
    <col min="1" max="1" width="9" style="3"/>
    <col min="2" max="2" width="19" style="3" customWidth="1"/>
    <col min="3" max="4" width="11.75" style="3" customWidth="1"/>
    <col min="5" max="5" width="12.5" style="3" customWidth="1"/>
    <col min="6" max="16384" width="9" style="3"/>
  </cols>
  <sheetData>
    <row r="1" spans="1:26" x14ac:dyDescent="0.2">
      <c r="G1" s="11" t="s">
        <v>13</v>
      </c>
      <c r="H1" s="11"/>
      <c r="I1" s="11" t="s">
        <v>14</v>
      </c>
      <c r="J1" s="11"/>
      <c r="K1" s="11" t="s">
        <v>15</v>
      </c>
      <c r="L1" s="11"/>
      <c r="M1" s="11" t="s">
        <v>16</v>
      </c>
      <c r="N1" s="11"/>
      <c r="O1" s="11" t="s">
        <v>22</v>
      </c>
      <c r="P1" s="11"/>
      <c r="Q1" s="11" t="s">
        <v>17</v>
      </c>
      <c r="R1" s="11"/>
      <c r="S1" s="11" t="s">
        <v>18</v>
      </c>
      <c r="T1" s="11"/>
      <c r="U1" s="11" t="s">
        <v>19</v>
      </c>
      <c r="V1" s="11"/>
      <c r="W1" s="11" t="s">
        <v>20</v>
      </c>
      <c r="X1" s="11"/>
      <c r="Y1" s="11" t="s">
        <v>21</v>
      </c>
      <c r="Z1" s="11"/>
    </row>
    <row r="2" spans="1:26" x14ac:dyDescent="0.2">
      <c r="A2" s="3" t="s">
        <v>4</v>
      </c>
      <c r="B2" s="3" t="s">
        <v>3</v>
      </c>
      <c r="C2" s="3" t="s">
        <v>1</v>
      </c>
      <c r="E2" s="3" t="s">
        <v>2</v>
      </c>
      <c r="G2" s="3" t="s">
        <v>1</v>
      </c>
      <c r="H2" s="3" t="s">
        <v>2</v>
      </c>
      <c r="I2" s="3" t="s">
        <v>1</v>
      </c>
      <c r="J2" s="3" t="s">
        <v>2</v>
      </c>
      <c r="K2" s="3" t="s">
        <v>1</v>
      </c>
      <c r="L2" s="3" t="s">
        <v>2</v>
      </c>
      <c r="M2" s="3" t="s">
        <v>1</v>
      </c>
      <c r="N2" s="3" t="s">
        <v>2</v>
      </c>
      <c r="O2" s="3" t="s">
        <v>1</v>
      </c>
      <c r="P2" s="3" t="s">
        <v>2</v>
      </c>
      <c r="Q2" s="3" t="s">
        <v>1</v>
      </c>
      <c r="R2" s="3" t="s">
        <v>2</v>
      </c>
      <c r="S2" s="3" t="s">
        <v>1</v>
      </c>
      <c r="T2" s="3" t="s">
        <v>2</v>
      </c>
      <c r="U2" s="3" t="s">
        <v>1</v>
      </c>
      <c r="V2" s="3" t="s">
        <v>2</v>
      </c>
      <c r="W2" s="3" t="s">
        <v>1</v>
      </c>
      <c r="X2" s="3" t="s">
        <v>2</v>
      </c>
      <c r="Y2" s="3" t="s">
        <v>1</v>
      </c>
      <c r="Z2" s="3" t="s">
        <v>2</v>
      </c>
    </row>
    <row r="3" spans="1:26" x14ac:dyDescent="0.2">
      <c r="A3" s="11" t="s">
        <v>5</v>
      </c>
      <c r="B3" s="1">
        <v>96</v>
      </c>
      <c r="C3" s="2">
        <v>0.35812863707542419</v>
      </c>
      <c r="D3" s="7">
        <f>TRUNC(C3,3)</f>
        <v>0.35799999999999998</v>
      </c>
      <c r="E3" s="2">
        <v>0.39038798213005066</v>
      </c>
      <c r="F3" s="8">
        <f>TRUNC(E3,3)</f>
        <v>0.39</v>
      </c>
      <c r="G3" s="3">
        <v>0.374</v>
      </c>
      <c r="H3" s="3">
        <v>0.38900000000000001</v>
      </c>
      <c r="I3" s="3">
        <v>0.36899999999999999</v>
      </c>
      <c r="J3" s="3">
        <v>0.39300000000000002</v>
      </c>
      <c r="K3" s="3">
        <v>0.36599999999999999</v>
      </c>
      <c r="L3" s="3">
        <v>0.39200000000000002</v>
      </c>
      <c r="M3" s="3">
        <v>0.374</v>
      </c>
      <c r="N3" s="3">
        <v>0.39100000000000001</v>
      </c>
      <c r="O3" s="3">
        <v>0.376</v>
      </c>
      <c r="P3" s="3">
        <v>0.38600000000000001</v>
      </c>
      <c r="Q3" s="3">
        <v>0.38600000000000001</v>
      </c>
      <c r="R3" s="3">
        <v>0.40400000000000003</v>
      </c>
      <c r="S3" s="3">
        <v>0.38</v>
      </c>
      <c r="T3" s="3">
        <v>0.4</v>
      </c>
      <c r="U3" s="3">
        <v>0.41399999999999998</v>
      </c>
      <c r="V3" s="3">
        <v>0.41899999999999998</v>
      </c>
      <c r="W3" s="3">
        <v>0.38600000000000001</v>
      </c>
      <c r="X3" s="3">
        <v>0.4</v>
      </c>
      <c r="Y3" s="3">
        <v>0.376</v>
      </c>
      <c r="Z3" s="3">
        <v>0.41899999999999998</v>
      </c>
    </row>
    <row r="4" spans="1:26" x14ac:dyDescent="0.2">
      <c r="A4" s="11"/>
      <c r="B4" s="1">
        <v>192</v>
      </c>
      <c r="C4" s="2">
        <v>0.4111686646938324</v>
      </c>
      <c r="D4" s="7">
        <f t="shared" ref="D4:D42" si="0">TRUNC(C4,3)</f>
        <v>0.41099999999999998</v>
      </c>
      <c r="E4" s="2">
        <v>0.41681227087974548</v>
      </c>
      <c r="F4" s="8">
        <f t="shared" ref="F4:F42" si="1">TRUNC(E4,3)</f>
        <v>0.41599999999999998</v>
      </c>
      <c r="G4" s="3">
        <v>0.42699999999999999</v>
      </c>
      <c r="H4" s="3">
        <v>0.41799999999999998</v>
      </c>
      <c r="I4" s="3">
        <v>0.42299999999999999</v>
      </c>
      <c r="J4" s="3">
        <v>0.42599999999999999</v>
      </c>
      <c r="K4" s="3">
        <v>0.42199999999999999</v>
      </c>
      <c r="L4" s="3">
        <v>0.42099999999999999</v>
      </c>
      <c r="M4" s="3">
        <v>0.42399999999999999</v>
      </c>
      <c r="N4" s="3">
        <v>0.42099999999999999</v>
      </c>
      <c r="O4" s="3">
        <v>0.41699999999999998</v>
      </c>
      <c r="P4" s="3">
        <v>0.40699999999999997</v>
      </c>
      <c r="Q4" s="3">
        <v>0.441</v>
      </c>
      <c r="R4" s="3">
        <v>0.43</v>
      </c>
      <c r="S4" s="3">
        <v>0.438</v>
      </c>
      <c r="T4" s="3">
        <v>0.42799999999999999</v>
      </c>
      <c r="U4" s="3">
        <v>0.46</v>
      </c>
      <c r="V4" s="3">
        <v>0.44500000000000001</v>
      </c>
      <c r="W4" s="3">
        <v>0.437</v>
      </c>
      <c r="X4" s="3">
        <v>0.432</v>
      </c>
      <c r="Y4" s="3">
        <v>0.42</v>
      </c>
      <c r="Z4" s="3">
        <v>0.44800000000000001</v>
      </c>
    </row>
    <row r="5" spans="1:26" x14ac:dyDescent="0.2">
      <c r="A5" s="11"/>
      <c r="B5" s="1">
        <v>336</v>
      </c>
      <c r="C5" s="2">
        <v>0.42646080255508423</v>
      </c>
      <c r="D5" s="7">
        <f t="shared" si="0"/>
        <v>0.42599999999999999</v>
      </c>
      <c r="E5" s="2">
        <v>0.43076062202453613</v>
      </c>
      <c r="F5" s="8">
        <f t="shared" si="1"/>
        <v>0.43</v>
      </c>
      <c r="G5" s="3">
        <v>0.46800000000000003</v>
      </c>
      <c r="H5" s="3">
        <v>0.438</v>
      </c>
      <c r="I5" s="6">
        <v>0.46600000000000003</v>
      </c>
      <c r="J5" s="3">
        <v>0.44800000000000001</v>
      </c>
      <c r="K5" s="3">
        <v>0.44</v>
      </c>
      <c r="L5" s="3">
        <v>0.438</v>
      </c>
      <c r="M5" s="3">
        <v>0.46400000000000002</v>
      </c>
      <c r="N5" s="3">
        <v>0.441</v>
      </c>
      <c r="O5" s="3">
        <v>0.44900000000000001</v>
      </c>
      <c r="P5" s="3">
        <v>0.42499999999999999</v>
      </c>
      <c r="Q5" s="3">
        <v>0.48699999999999999</v>
      </c>
      <c r="R5" s="3">
        <v>0.45800000000000002</v>
      </c>
      <c r="S5" s="3">
        <v>0.47799999999999998</v>
      </c>
      <c r="T5" s="3">
        <v>0.45100000000000001</v>
      </c>
      <c r="U5" s="3">
        <v>0.46899999999999997</v>
      </c>
      <c r="V5" s="3">
        <v>0.45700000000000002</v>
      </c>
      <c r="W5" s="3">
        <v>0.48099999999999998</v>
      </c>
      <c r="X5" s="3">
        <v>0.45900000000000002</v>
      </c>
      <c r="Y5" s="3">
        <v>0.45900000000000002</v>
      </c>
      <c r="Z5" s="3">
        <v>0.46500000000000002</v>
      </c>
    </row>
    <row r="6" spans="1:26" x14ac:dyDescent="0.2">
      <c r="A6" s="11"/>
      <c r="B6" s="1">
        <v>720</v>
      </c>
      <c r="C6" s="2">
        <v>0.45363208651542664</v>
      </c>
      <c r="D6" s="7">
        <f t="shared" si="0"/>
        <v>0.45300000000000001</v>
      </c>
      <c r="E6" s="2">
        <v>0.4546850323677063</v>
      </c>
      <c r="F6" s="8">
        <f t="shared" si="1"/>
        <v>0.45400000000000001</v>
      </c>
      <c r="G6" s="3">
        <v>0.45500000000000002</v>
      </c>
      <c r="H6" s="3">
        <v>0.45</v>
      </c>
      <c r="I6" s="3">
        <v>0.499</v>
      </c>
      <c r="J6" s="3">
        <v>0.48199999999999998</v>
      </c>
      <c r="K6" s="3">
        <v>0.46300000000000002</v>
      </c>
      <c r="L6" s="3">
        <v>0.46200000000000002</v>
      </c>
      <c r="M6" s="3">
        <v>0.47</v>
      </c>
      <c r="N6" s="3">
        <v>0.46600000000000003</v>
      </c>
      <c r="O6" s="3">
        <v>0.47</v>
      </c>
      <c r="P6" s="3">
        <v>0.45600000000000002</v>
      </c>
      <c r="Q6" s="3">
        <v>0.503</v>
      </c>
      <c r="R6" s="3">
        <v>0.49099999999999999</v>
      </c>
      <c r="S6" s="3">
        <v>0.54</v>
      </c>
      <c r="T6" s="3">
        <v>0.496</v>
      </c>
      <c r="U6" s="3">
        <v>0.5</v>
      </c>
      <c r="V6" s="3">
        <v>0.48799999999999999</v>
      </c>
      <c r="W6" s="3">
        <v>0.51900000000000002</v>
      </c>
      <c r="X6" s="3">
        <v>0.51600000000000001</v>
      </c>
      <c r="Y6" s="3">
        <v>0.50600000000000001</v>
      </c>
      <c r="Z6" s="3">
        <v>0.50700000000000001</v>
      </c>
    </row>
    <row r="7" spans="1:26" x14ac:dyDescent="0.2">
      <c r="A7" s="11"/>
      <c r="B7" s="4" t="s">
        <v>0</v>
      </c>
      <c r="C7" s="5">
        <f>AVERAGE(C3:C6)</f>
        <v>0.41234754770994186</v>
      </c>
      <c r="D7" s="7">
        <f t="shared" si="0"/>
        <v>0.41199999999999998</v>
      </c>
      <c r="E7" s="5">
        <f>AVERAGE(E3:E6)</f>
        <v>0.42316147685050964</v>
      </c>
      <c r="F7" s="8">
        <f t="shared" si="1"/>
        <v>0.42299999999999999</v>
      </c>
      <c r="G7" s="3">
        <f>AVERAGE(G3:G6)</f>
        <v>0.43099999999999999</v>
      </c>
      <c r="H7" s="3">
        <v>0.42299999999999999</v>
      </c>
      <c r="I7" s="3">
        <v>0.439</v>
      </c>
      <c r="J7" s="3">
        <v>0.437</v>
      </c>
      <c r="K7" s="3">
        <v>0.42199999999999999</v>
      </c>
      <c r="L7" s="3">
        <v>0.42799999999999999</v>
      </c>
      <c r="M7" s="3">
        <v>0.433</v>
      </c>
      <c r="N7" s="3">
        <v>0.42899999999999999</v>
      </c>
      <c r="O7" s="3">
        <v>0.42799999999999999</v>
      </c>
      <c r="P7" s="3">
        <v>0.41899999999999998</v>
      </c>
      <c r="Q7" s="3">
        <v>0.45400000000000001</v>
      </c>
      <c r="R7" s="3">
        <v>0.44500000000000001</v>
      </c>
      <c r="S7" s="3">
        <v>0.45900000000000002</v>
      </c>
      <c r="T7" s="3">
        <v>0.443</v>
      </c>
      <c r="U7" s="3">
        <v>0.46</v>
      </c>
      <c r="V7" s="3">
        <v>0.45200000000000001</v>
      </c>
      <c r="W7" s="3">
        <v>0.45600000000000002</v>
      </c>
      <c r="X7" s="3">
        <v>0.45200000000000001</v>
      </c>
      <c r="Y7" s="3">
        <v>0.44</v>
      </c>
      <c r="Z7" s="3">
        <v>0.46</v>
      </c>
    </row>
    <row r="8" spans="1:26" x14ac:dyDescent="0.2">
      <c r="A8" s="11" t="s">
        <v>6</v>
      </c>
      <c r="B8" s="1">
        <v>96</v>
      </c>
      <c r="C8" s="2">
        <v>0.27253144979476929</v>
      </c>
      <c r="D8" s="7">
        <f t="shared" si="0"/>
        <v>0.27200000000000002</v>
      </c>
      <c r="E8" s="2">
        <v>0.33419284224510193</v>
      </c>
      <c r="F8" s="8">
        <f t="shared" si="1"/>
        <v>0.33400000000000002</v>
      </c>
      <c r="G8" s="3">
        <v>0.30299999999999999</v>
      </c>
      <c r="H8" s="3">
        <v>0.33600000000000002</v>
      </c>
      <c r="I8" s="3">
        <v>0.318</v>
      </c>
      <c r="J8" s="3">
        <v>0.35699999999999998</v>
      </c>
      <c r="K8" s="3">
        <v>0.32100000000000001</v>
      </c>
      <c r="L8" s="3">
        <v>0.36099999999999999</v>
      </c>
      <c r="M8" s="3">
        <v>0.32100000000000001</v>
      </c>
      <c r="N8" s="3">
        <v>0.36</v>
      </c>
      <c r="O8" s="3">
        <v>0.311</v>
      </c>
      <c r="P8" s="3">
        <v>0.34599999999999997</v>
      </c>
      <c r="Q8" s="3">
        <v>0.33400000000000002</v>
      </c>
      <c r="R8" s="3">
        <v>0.36799999999999999</v>
      </c>
      <c r="S8" s="3">
        <v>0.32200000000000001</v>
      </c>
      <c r="T8" s="3">
        <v>0.36199999999999999</v>
      </c>
      <c r="U8" s="3">
        <v>0.32900000000000001</v>
      </c>
      <c r="V8" s="3">
        <v>0.36699999999999999</v>
      </c>
      <c r="W8" s="3">
        <v>0.34499999999999997</v>
      </c>
      <c r="X8" s="3">
        <v>0.372</v>
      </c>
      <c r="Y8" s="3">
        <v>0.379</v>
      </c>
      <c r="Z8" s="3">
        <v>0.41899999999999998</v>
      </c>
    </row>
    <row r="9" spans="1:26" x14ac:dyDescent="0.2">
      <c r="A9" s="11"/>
      <c r="B9" s="1">
        <v>192</v>
      </c>
      <c r="C9" s="2">
        <v>0.35331627726554871</v>
      </c>
      <c r="D9" s="7">
        <f t="shared" si="0"/>
        <v>0.35299999999999998</v>
      </c>
      <c r="E9" s="2">
        <v>0.38674759864807129</v>
      </c>
      <c r="F9" s="8">
        <f t="shared" si="1"/>
        <v>0.38600000000000001</v>
      </c>
      <c r="G9" s="3">
        <v>0.35899999999999999</v>
      </c>
      <c r="H9" s="3">
        <v>0.36399999999999999</v>
      </c>
      <c r="I9" s="3">
        <v>0.36199999999999999</v>
      </c>
      <c r="J9" s="3">
        <v>0.379</v>
      </c>
      <c r="K9" s="3">
        <v>0.36</v>
      </c>
      <c r="L9" s="3">
        <v>0.38</v>
      </c>
      <c r="M9" s="3">
        <v>0.36299999999999999</v>
      </c>
      <c r="N9" s="3">
        <v>0.38200000000000001</v>
      </c>
      <c r="O9" s="3">
        <v>0.34799999999999998</v>
      </c>
      <c r="P9" s="3">
        <v>0.36799999999999999</v>
      </c>
      <c r="Q9" s="3">
        <v>0.377</v>
      </c>
      <c r="R9" s="3">
        <v>0.39100000000000001</v>
      </c>
      <c r="S9" s="3">
        <v>0.36899999999999999</v>
      </c>
      <c r="T9" s="3">
        <v>0.38600000000000001</v>
      </c>
      <c r="U9" s="3">
        <v>0.36699999999999999</v>
      </c>
      <c r="V9" s="3">
        <v>0.38500000000000001</v>
      </c>
      <c r="W9" s="3">
        <v>0.38</v>
      </c>
      <c r="X9" s="3">
        <v>0.38900000000000001</v>
      </c>
      <c r="Y9" s="3">
        <v>0.42599999999999999</v>
      </c>
      <c r="Z9" s="3">
        <v>0.441</v>
      </c>
    </row>
    <row r="10" spans="1:26" x14ac:dyDescent="0.2">
      <c r="A10" s="11"/>
      <c r="B10" s="1">
        <v>336</v>
      </c>
      <c r="C10" s="2">
        <v>0.36016249656677246</v>
      </c>
      <c r="D10" s="7">
        <f t="shared" si="0"/>
        <v>0.36</v>
      </c>
      <c r="E10" s="2">
        <v>0.39821711182594299</v>
      </c>
      <c r="F10" s="8">
        <f t="shared" si="1"/>
        <v>0.39800000000000002</v>
      </c>
      <c r="G10" s="3">
        <v>0.39300000000000002</v>
      </c>
      <c r="H10" s="3">
        <v>0.38700000000000001</v>
      </c>
      <c r="I10" s="3">
        <v>0.39600000000000002</v>
      </c>
      <c r="J10" s="3">
        <v>0.40500000000000003</v>
      </c>
      <c r="K10" s="3">
        <v>0.39</v>
      </c>
      <c r="L10" s="3">
        <v>0.40400000000000003</v>
      </c>
      <c r="M10" s="3">
        <v>0.39500000000000002</v>
      </c>
      <c r="N10" s="3">
        <v>0.40300000000000002</v>
      </c>
      <c r="O10" s="3">
        <v>0.38800000000000001</v>
      </c>
      <c r="P10" s="3">
        <v>0.39100000000000001</v>
      </c>
      <c r="Q10" s="3">
        <v>0.42599999999999999</v>
      </c>
      <c r="R10" s="3">
        <v>0.42</v>
      </c>
      <c r="S10" s="3">
        <v>0.39200000000000002</v>
      </c>
      <c r="T10" s="3">
        <v>0.40699999999999997</v>
      </c>
      <c r="U10" s="3">
        <v>0.39900000000000002</v>
      </c>
      <c r="V10" s="3">
        <v>0.41</v>
      </c>
      <c r="W10" s="3">
        <v>0.41299999999999998</v>
      </c>
      <c r="X10" s="3">
        <v>0.41299999999999998</v>
      </c>
      <c r="Y10" s="3">
        <v>0.44500000000000001</v>
      </c>
      <c r="Z10" s="3">
        <v>0.45900000000000002</v>
      </c>
    </row>
    <row r="11" spans="1:26" x14ac:dyDescent="0.2">
      <c r="A11" s="11"/>
      <c r="B11" s="1">
        <v>720</v>
      </c>
      <c r="C11" s="2">
        <v>0.40876638889312744</v>
      </c>
      <c r="D11" s="7">
        <f t="shared" si="0"/>
        <v>0.40799999999999997</v>
      </c>
      <c r="E11" s="2">
        <v>0.43334636092185974</v>
      </c>
      <c r="F11" s="8">
        <f t="shared" si="1"/>
        <v>0.433</v>
      </c>
      <c r="G11" s="3">
        <v>0.46700000000000003</v>
      </c>
      <c r="H11" s="3">
        <v>0.43099999999999999</v>
      </c>
      <c r="I11" s="3">
        <v>0.45700000000000002</v>
      </c>
      <c r="J11" s="3">
        <v>0.44400000000000001</v>
      </c>
      <c r="K11" s="3">
        <v>0.45400000000000001</v>
      </c>
      <c r="L11" s="3">
        <v>0.438</v>
      </c>
      <c r="M11" s="3">
        <v>0.46200000000000002</v>
      </c>
      <c r="N11" s="3">
        <v>0.438</v>
      </c>
      <c r="O11" s="3">
        <v>0.46100000000000002</v>
      </c>
      <c r="P11" s="3">
        <v>0.43</v>
      </c>
      <c r="Q11" s="3">
        <v>0.49099999999999999</v>
      </c>
      <c r="R11" s="3">
        <v>0.45900000000000002</v>
      </c>
      <c r="S11" s="3">
        <v>0.45600000000000002</v>
      </c>
      <c r="T11" s="3">
        <v>0.44500000000000001</v>
      </c>
      <c r="U11" s="3">
        <v>0.45400000000000001</v>
      </c>
      <c r="V11" s="3">
        <v>0.439</v>
      </c>
      <c r="W11" s="3">
        <v>0.47399999999999998</v>
      </c>
      <c r="X11" s="3">
        <v>0.45300000000000001</v>
      </c>
      <c r="Y11" s="3">
        <v>0.54300000000000004</v>
      </c>
      <c r="Z11" s="3">
        <v>0.49</v>
      </c>
    </row>
    <row r="12" spans="1:26" x14ac:dyDescent="0.2">
      <c r="A12" s="11"/>
      <c r="B12" s="4" t="s">
        <v>0</v>
      </c>
      <c r="C12" s="5">
        <f>AVERAGE(C8:C11)</f>
        <v>0.34869415313005447</v>
      </c>
      <c r="D12" s="7">
        <f t="shared" si="0"/>
        <v>0.34799999999999998</v>
      </c>
      <c r="E12" s="5">
        <f>AVERAGE(E8:E11)</f>
        <v>0.38812597841024399</v>
      </c>
      <c r="F12" s="8">
        <f t="shared" si="1"/>
        <v>0.38800000000000001</v>
      </c>
      <c r="G12" s="3">
        <v>0.38</v>
      </c>
      <c r="H12" s="3">
        <v>0.379</v>
      </c>
      <c r="I12" s="3">
        <v>0.38300000000000001</v>
      </c>
      <c r="J12" s="3">
        <v>0.39600000000000002</v>
      </c>
      <c r="K12" s="3">
        <v>0.38100000000000001</v>
      </c>
      <c r="L12" s="3">
        <v>0.39600000000000002</v>
      </c>
      <c r="M12" s="3">
        <v>0.38500000000000001</v>
      </c>
      <c r="N12" s="3">
        <v>0.39600000000000002</v>
      </c>
      <c r="O12" s="3">
        <v>0.377</v>
      </c>
      <c r="P12" s="3">
        <v>0.38400000000000001</v>
      </c>
      <c r="Q12" s="3">
        <v>0.40699999999999997</v>
      </c>
      <c r="R12" s="3">
        <v>0.40899999999999997</v>
      </c>
      <c r="S12" s="3">
        <v>0.38400000000000001</v>
      </c>
      <c r="T12" s="3">
        <v>0.4</v>
      </c>
      <c r="U12" s="3">
        <v>0.38700000000000001</v>
      </c>
      <c r="V12" s="3">
        <v>0.4</v>
      </c>
      <c r="W12" s="3">
        <v>0.40300000000000002</v>
      </c>
      <c r="X12" s="3">
        <v>0.40699999999999997</v>
      </c>
      <c r="Y12" s="3">
        <v>0.44800000000000001</v>
      </c>
      <c r="Z12" s="3">
        <v>0.45200000000000001</v>
      </c>
    </row>
    <row r="13" spans="1:26" ht="15" x14ac:dyDescent="0.2">
      <c r="A13" s="11" t="s">
        <v>7</v>
      </c>
      <c r="B13" s="1">
        <v>96</v>
      </c>
      <c r="C13" s="2">
        <v>0.30147463083267212</v>
      </c>
      <c r="D13" s="7">
        <f t="shared" si="0"/>
        <v>0.30099999999999999</v>
      </c>
      <c r="E13" s="2">
        <v>0.34617418050765991</v>
      </c>
      <c r="F13" s="8">
        <f t="shared" si="1"/>
        <v>0.34599999999999997</v>
      </c>
      <c r="G13" s="3">
        <v>0.28899999999999998</v>
      </c>
      <c r="H13" s="3">
        <v>0.33400000000000002</v>
      </c>
      <c r="I13" s="3">
        <v>0.30099999999999999</v>
      </c>
      <c r="J13" s="3">
        <v>0.34899999999999998</v>
      </c>
      <c r="K13" s="3">
        <v>0.28100000000000003</v>
      </c>
      <c r="L13" s="3">
        <v>0.33800000000000002</v>
      </c>
      <c r="M13" s="9">
        <v>0.28999999999999998</v>
      </c>
      <c r="N13" s="9">
        <v>0.33800000000000002</v>
      </c>
      <c r="O13" s="3">
        <v>0.23300000000000001</v>
      </c>
      <c r="P13" s="3">
        <v>0.3</v>
      </c>
      <c r="Q13" s="3">
        <v>0.29699999999999999</v>
      </c>
      <c r="R13" s="3">
        <v>0.34899999999999998</v>
      </c>
      <c r="S13" s="3">
        <v>0.29299999999999998</v>
      </c>
      <c r="T13" s="3">
        <v>0.34399999999999997</v>
      </c>
      <c r="U13" s="10">
        <v>0.30199999999999999</v>
      </c>
      <c r="V13" s="10">
        <v>0.34799999999999998</v>
      </c>
      <c r="W13" s="3">
        <v>0.33300000000000002</v>
      </c>
      <c r="X13" s="3">
        <v>0.38700000000000001</v>
      </c>
      <c r="Y13" s="3">
        <v>0.35799999999999998</v>
      </c>
      <c r="Z13" s="3">
        <v>0.39700000000000002</v>
      </c>
    </row>
    <row r="14" spans="1:26" ht="15" x14ac:dyDescent="0.2">
      <c r="A14" s="11"/>
      <c r="B14" s="1">
        <v>192</v>
      </c>
      <c r="C14" s="2">
        <v>0.34795844554901123</v>
      </c>
      <c r="D14" s="7">
        <f t="shared" si="0"/>
        <v>0.34699999999999998</v>
      </c>
      <c r="E14" s="2">
        <v>0.37466222047805786</v>
      </c>
      <c r="F14" s="8">
        <f t="shared" si="1"/>
        <v>0.374</v>
      </c>
      <c r="G14" s="3">
        <v>0.36599999999999999</v>
      </c>
      <c r="H14" s="3">
        <v>0.38500000000000001</v>
      </c>
      <c r="I14" s="3">
        <v>0.36899999999999999</v>
      </c>
      <c r="J14" s="3">
        <v>0.39200000000000002</v>
      </c>
      <c r="K14" s="3">
        <v>0.35499999999999998</v>
      </c>
      <c r="L14" s="3">
        <v>0.38700000000000001</v>
      </c>
      <c r="M14" s="9">
        <v>0.374</v>
      </c>
      <c r="N14" s="9">
        <v>0.39</v>
      </c>
      <c r="O14" s="3">
        <v>0.29099999999999998</v>
      </c>
      <c r="P14" s="3">
        <v>0.33800000000000002</v>
      </c>
      <c r="Q14" s="3">
        <v>0.38</v>
      </c>
      <c r="R14" s="3">
        <v>0.4</v>
      </c>
      <c r="S14" s="3">
        <v>0.378</v>
      </c>
      <c r="T14" s="3">
        <v>0.39500000000000002</v>
      </c>
      <c r="U14" s="10">
        <v>0.38800000000000001</v>
      </c>
      <c r="V14" s="10">
        <v>0.4</v>
      </c>
      <c r="W14" s="3">
        <v>0.47699999999999998</v>
      </c>
      <c r="X14" s="3">
        <v>0.47599999999999998</v>
      </c>
      <c r="Y14" s="3">
        <v>0.42899999999999999</v>
      </c>
      <c r="Z14" s="3">
        <v>0.439</v>
      </c>
    </row>
    <row r="15" spans="1:26" ht="15" x14ac:dyDescent="0.2">
      <c r="A15" s="11"/>
      <c r="B15" s="1">
        <v>336</v>
      </c>
      <c r="C15" s="2">
        <v>0.3766934871673584</v>
      </c>
      <c r="D15" s="7">
        <f t="shared" si="0"/>
        <v>0.376</v>
      </c>
      <c r="E15" s="2">
        <v>0.39734339714050293</v>
      </c>
      <c r="F15" s="8">
        <f t="shared" si="1"/>
        <v>0.39700000000000002</v>
      </c>
      <c r="G15" s="3">
        <v>0.41299999999999998</v>
      </c>
      <c r="H15" s="3">
        <v>0.42099999999999999</v>
      </c>
      <c r="I15" s="3">
        <v>0.42299999999999999</v>
      </c>
      <c r="J15" s="3">
        <v>0.43</v>
      </c>
      <c r="K15" s="3">
        <v>0.36499999999999999</v>
      </c>
      <c r="L15" s="3">
        <v>0.40100000000000002</v>
      </c>
      <c r="M15" s="9">
        <v>0.40600000000000003</v>
      </c>
      <c r="N15" s="9">
        <v>0.42</v>
      </c>
      <c r="O15" s="3">
        <v>0.34399999999999997</v>
      </c>
      <c r="P15" s="3">
        <v>0.377</v>
      </c>
      <c r="Q15" s="3">
        <v>0.42799999999999999</v>
      </c>
      <c r="R15" s="3">
        <v>0.432</v>
      </c>
      <c r="S15" s="3">
        <v>0.42899999999999999</v>
      </c>
      <c r="T15" s="3">
        <v>0.437</v>
      </c>
      <c r="U15" s="10">
        <v>0.42599999999999999</v>
      </c>
      <c r="V15" s="10">
        <v>0.433</v>
      </c>
      <c r="W15" s="3">
        <v>0.59399999999999997</v>
      </c>
      <c r="X15" s="3">
        <v>0.54100000000000004</v>
      </c>
      <c r="Y15" s="3">
        <v>0.496</v>
      </c>
      <c r="Z15" s="3">
        <v>0.48699999999999999</v>
      </c>
    </row>
    <row r="16" spans="1:26" ht="15" x14ac:dyDescent="0.2">
      <c r="A16" s="11"/>
      <c r="B16" s="1">
        <v>720</v>
      </c>
      <c r="C16" s="2">
        <v>0.43696802854537964</v>
      </c>
      <c r="D16" s="7">
        <f t="shared" si="0"/>
        <v>0.436</v>
      </c>
      <c r="E16" s="2">
        <v>0.43128970265388489</v>
      </c>
      <c r="F16" s="8">
        <f t="shared" si="1"/>
        <v>0.43099999999999999</v>
      </c>
      <c r="G16" s="3">
        <v>0.42399999999999999</v>
      </c>
      <c r="H16" s="3">
        <v>0.439</v>
      </c>
      <c r="I16" s="3">
        <v>0.42799999999999999</v>
      </c>
      <c r="J16" s="3">
        <v>0.443</v>
      </c>
      <c r="K16" s="3">
        <v>0.41299999999999998</v>
      </c>
      <c r="L16" s="3">
        <v>0.436</v>
      </c>
      <c r="M16" s="9">
        <v>0.41799999999999998</v>
      </c>
      <c r="N16" s="9">
        <v>0.437</v>
      </c>
      <c r="O16" s="3">
        <v>0.40699999999999997</v>
      </c>
      <c r="P16" s="3">
        <v>0.42699999999999999</v>
      </c>
      <c r="Q16" s="3">
        <v>0.42699999999999999</v>
      </c>
      <c r="R16" s="3">
        <v>0.44500000000000001</v>
      </c>
      <c r="S16" s="3">
        <v>0.439</v>
      </c>
      <c r="T16" s="3">
        <v>0.44700000000000001</v>
      </c>
      <c r="U16" s="10">
        <v>0.43099999999999999</v>
      </c>
      <c r="V16" s="10">
        <v>0.44600000000000001</v>
      </c>
      <c r="W16" s="3">
        <v>0.83099999999999996</v>
      </c>
      <c r="X16" s="3">
        <v>0.65700000000000003</v>
      </c>
      <c r="Y16" s="3">
        <v>0.46300000000000002</v>
      </c>
      <c r="Z16" s="3">
        <v>0.47399999999999998</v>
      </c>
    </row>
    <row r="17" spans="1:26" ht="15" x14ac:dyDescent="0.2">
      <c r="A17" s="11"/>
      <c r="B17" s="4" t="s">
        <v>0</v>
      </c>
      <c r="C17" s="5">
        <f>AVERAGE(C13:C16)</f>
        <v>0.36577364802360535</v>
      </c>
      <c r="D17" s="7">
        <f t="shared" si="0"/>
        <v>0.36499999999999999</v>
      </c>
      <c r="E17" s="5">
        <f>AVERAGE(E13:E16)</f>
        <v>0.3873673751950264</v>
      </c>
      <c r="F17" s="8">
        <f t="shared" si="1"/>
        <v>0.38700000000000001</v>
      </c>
      <c r="G17" s="3">
        <v>0.373</v>
      </c>
      <c r="H17" s="3">
        <v>0.39400000000000002</v>
      </c>
      <c r="I17" s="3">
        <v>0.38</v>
      </c>
      <c r="J17" s="3">
        <v>0.40300000000000002</v>
      </c>
      <c r="K17" s="3">
        <v>0.35299999999999998</v>
      </c>
      <c r="L17" s="3">
        <v>0.39100000000000001</v>
      </c>
      <c r="M17" s="9">
        <v>0.372</v>
      </c>
      <c r="N17" s="9">
        <v>0.39600000000000002</v>
      </c>
      <c r="O17" s="3">
        <v>0.31900000000000001</v>
      </c>
      <c r="P17" s="3">
        <v>0.36099999999999999</v>
      </c>
      <c r="Q17" s="3">
        <v>0.38300000000000001</v>
      </c>
      <c r="R17" s="3">
        <v>0.40600000000000003</v>
      </c>
      <c r="S17" s="3">
        <v>0.38400000000000001</v>
      </c>
      <c r="T17" s="3">
        <v>0.40500000000000003</v>
      </c>
      <c r="U17" s="10">
        <v>0.38674999999999998</v>
      </c>
      <c r="V17" s="10">
        <v>0.40675</v>
      </c>
      <c r="W17" s="3">
        <v>0.55900000000000005</v>
      </c>
      <c r="X17" s="3">
        <v>0.51500000000000001</v>
      </c>
      <c r="Y17" s="3">
        <v>0.437</v>
      </c>
      <c r="Z17" s="3">
        <v>0.44900000000000001</v>
      </c>
    </row>
    <row r="18" spans="1:26" x14ac:dyDescent="0.2">
      <c r="A18" s="11" t="s">
        <v>8</v>
      </c>
      <c r="B18" s="1">
        <v>96</v>
      </c>
      <c r="C18" s="2">
        <v>0.16781453788280487</v>
      </c>
      <c r="D18" s="7">
        <f t="shared" si="0"/>
        <v>0.16700000000000001</v>
      </c>
      <c r="E18" s="2">
        <v>0.24983803927898407</v>
      </c>
      <c r="F18" s="8">
        <f t="shared" si="1"/>
        <v>0.249</v>
      </c>
      <c r="G18" s="3">
        <v>0.16700000000000001</v>
      </c>
      <c r="H18" s="3">
        <v>0.245</v>
      </c>
      <c r="I18" s="3">
        <v>0.18</v>
      </c>
      <c r="J18" s="3">
        <v>0.26</v>
      </c>
      <c r="K18" s="3">
        <v>0.17299999999999999</v>
      </c>
      <c r="L18" s="3">
        <v>0.25700000000000001</v>
      </c>
      <c r="M18" s="3">
        <v>0.17199999999999999</v>
      </c>
      <c r="N18" s="3">
        <v>0.255</v>
      </c>
      <c r="O18" s="3">
        <v>0.16400000000000001</v>
      </c>
      <c r="P18" s="3">
        <v>0.248</v>
      </c>
      <c r="Q18" s="3">
        <v>0.18</v>
      </c>
      <c r="R18" s="3">
        <v>0.26400000000000001</v>
      </c>
      <c r="S18" s="3">
        <v>0.17499999999999999</v>
      </c>
      <c r="T18" s="3">
        <v>0.25600000000000001</v>
      </c>
      <c r="U18" s="3">
        <v>0.17499999999999999</v>
      </c>
      <c r="V18" s="3">
        <v>0.25900000000000001</v>
      </c>
      <c r="W18" s="3">
        <v>0.193</v>
      </c>
      <c r="X18" s="3">
        <v>0.29199999999999998</v>
      </c>
      <c r="Y18" s="3">
        <v>0.20300000000000001</v>
      </c>
      <c r="Z18" s="3">
        <v>0.28699999999999998</v>
      </c>
    </row>
    <row r="19" spans="1:26" x14ac:dyDescent="0.2">
      <c r="A19" s="11"/>
      <c r="B19" s="1">
        <v>192</v>
      </c>
      <c r="C19" s="2">
        <v>0.23184636235237122</v>
      </c>
      <c r="D19" s="7">
        <f t="shared" si="0"/>
        <v>0.23100000000000001</v>
      </c>
      <c r="E19" s="2">
        <v>0.29152831435203552</v>
      </c>
      <c r="F19" s="8">
        <f t="shared" si="1"/>
        <v>0.29099999999999998</v>
      </c>
      <c r="G19" s="3">
        <v>0.23300000000000001</v>
      </c>
      <c r="H19" s="3">
        <v>0.28999999999999998</v>
      </c>
      <c r="I19" s="3">
        <v>0.24199999999999999</v>
      </c>
      <c r="J19" s="3">
        <v>0.30199999999999999</v>
      </c>
      <c r="K19" s="3">
        <v>0.23799999999999999</v>
      </c>
      <c r="L19" s="3">
        <v>0.29899999999999999</v>
      </c>
      <c r="M19" s="3">
        <v>0.23699999999999999</v>
      </c>
      <c r="N19" s="3">
        <v>0.29899999999999999</v>
      </c>
      <c r="O19" s="3">
        <v>0.23</v>
      </c>
      <c r="P19" s="3">
        <v>0.29099999999999998</v>
      </c>
      <c r="Q19" s="3">
        <v>0.25</v>
      </c>
      <c r="R19" s="3">
        <v>0.309</v>
      </c>
      <c r="S19" s="3">
        <v>0.24299999999999999</v>
      </c>
      <c r="T19" s="3">
        <v>0.30299999999999999</v>
      </c>
      <c r="U19" s="3">
        <v>0.24099999999999999</v>
      </c>
      <c r="V19" s="3">
        <v>0.30199999999999999</v>
      </c>
      <c r="W19" s="3">
        <v>0.28399999999999997</v>
      </c>
      <c r="X19" s="3">
        <v>0.36199999999999999</v>
      </c>
      <c r="Y19" s="3">
        <v>0.26900000000000002</v>
      </c>
      <c r="Z19" s="3">
        <v>0.32800000000000001</v>
      </c>
    </row>
    <row r="20" spans="1:26" x14ac:dyDescent="0.2">
      <c r="A20" s="11"/>
      <c r="B20" s="1">
        <v>336</v>
      </c>
      <c r="C20" s="2">
        <v>0.29102447628974915</v>
      </c>
      <c r="D20" s="7">
        <f t="shared" si="0"/>
        <v>0.29099999999999998</v>
      </c>
      <c r="E20" s="2">
        <v>0.33203709125518799</v>
      </c>
      <c r="F20" s="8">
        <f t="shared" si="1"/>
        <v>0.33200000000000002</v>
      </c>
      <c r="G20" s="3">
        <v>0.29299999999999998</v>
      </c>
      <c r="H20" s="3">
        <v>0.32800000000000001</v>
      </c>
      <c r="I20" s="3">
        <v>0.308</v>
      </c>
      <c r="J20" s="3">
        <v>0.34499999999999997</v>
      </c>
      <c r="K20" s="3">
        <v>0.29599999999999999</v>
      </c>
      <c r="L20" s="3">
        <v>0.33800000000000002</v>
      </c>
      <c r="M20" s="3">
        <v>0.29899999999999999</v>
      </c>
      <c r="N20" s="3">
        <v>0.39800000000000002</v>
      </c>
      <c r="O20" s="3">
        <v>0.29199999999999998</v>
      </c>
      <c r="P20" s="3">
        <v>0.33100000000000002</v>
      </c>
      <c r="Q20" s="3">
        <v>0.311</v>
      </c>
      <c r="R20" s="3">
        <v>0.34799999999999998</v>
      </c>
      <c r="S20" s="3">
        <v>0.30299999999999999</v>
      </c>
      <c r="T20" s="3">
        <v>0.34100000000000003</v>
      </c>
      <c r="U20" s="3">
        <v>0.30499999999999999</v>
      </c>
      <c r="V20" s="3">
        <v>0.34300000000000003</v>
      </c>
      <c r="W20" s="3">
        <v>0.36899999999999999</v>
      </c>
      <c r="X20" s="3">
        <v>0.42699999999999999</v>
      </c>
      <c r="Y20" s="3">
        <v>0.32500000000000001</v>
      </c>
      <c r="Z20" s="3">
        <v>0.36599999999999999</v>
      </c>
    </row>
    <row r="21" spans="1:26" x14ac:dyDescent="0.2">
      <c r="A21" s="11"/>
      <c r="B21" s="1">
        <v>720</v>
      </c>
      <c r="C21" s="2">
        <v>0.38408008217811584</v>
      </c>
      <c r="D21" s="7">
        <f t="shared" si="0"/>
        <v>0.38400000000000001</v>
      </c>
      <c r="E21" s="2">
        <v>0.39042559266090393</v>
      </c>
      <c r="F21" s="8">
        <f t="shared" si="1"/>
        <v>0.39</v>
      </c>
      <c r="G21" s="3">
        <v>0.39</v>
      </c>
      <c r="H21" s="3">
        <v>0.38600000000000001</v>
      </c>
      <c r="I21" s="3">
        <v>0.40500000000000003</v>
      </c>
      <c r="J21" s="3">
        <v>0.40100000000000002</v>
      </c>
      <c r="K21" s="3">
        <v>0.39300000000000002</v>
      </c>
      <c r="L21" s="3">
        <v>0.39500000000000002</v>
      </c>
      <c r="M21" s="3">
        <v>0.39700000000000002</v>
      </c>
      <c r="N21" s="3">
        <v>0.39400000000000002</v>
      </c>
      <c r="O21" s="3">
        <v>0.38100000000000001</v>
      </c>
      <c r="P21" s="3">
        <v>0.38300000000000001</v>
      </c>
      <c r="Q21" s="3">
        <v>0.41199999999999998</v>
      </c>
      <c r="R21" s="3">
        <v>0.40699999999999997</v>
      </c>
      <c r="S21" s="3">
        <v>0.39600000000000002</v>
      </c>
      <c r="T21" s="3">
        <v>0.39900000000000002</v>
      </c>
      <c r="U21" s="3">
        <v>0.40200000000000002</v>
      </c>
      <c r="V21" s="3">
        <v>0.4</v>
      </c>
      <c r="W21" s="3">
        <v>0.55400000000000005</v>
      </c>
      <c r="X21" s="3">
        <v>0.52200000000000002</v>
      </c>
      <c r="Y21" s="3">
        <v>0.42099999999999999</v>
      </c>
      <c r="Z21" s="3">
        <v>0.41499999999999998</v>
      </c>
    </row>
    <row r="22" spans="1:26" x14ac:dyDescent="0.2">
      <c r="A22" s="11"/>
      <c r="B22" s="4" t="s">
        <v>0</v>
      </c>
      <c r="C22" s="5">
        <f>AVERAGE(C18:C21)</f>
        <v>0.26869136467576027</v>
      </c>
      <c r="D22" s="7">
        <f t="shared" si="0"/>
        <v>0.26800000000000002</v>
      </c>
      <c r="E22" s="5">
        <f>AVERAGE(E18:E21)</f>
        <v>0.31595725938677788</v>
      </c>
      <c r="F22" s="8">
        <f t="shared" si="1"/>
        <v>0.315</v>
      </c>
      <c r="G22" s="3">
        <v>0.27</v>
      </c>
      <c r="H22" s="3">
        <v>0.312</v>
      </c>
      <c r="I22" s="3">
        <v>0.28299999999999997</v>
      </c>
      <c r="J22" s="3">
        <v>0.32700000000000001</v>
      </c>
      <c r="K22" s="3">
        <v>0.27500000000000002</v>
      </c>
      <c r="L22" s="3">
        <v>0.32200000000000001</v>
      </c>
      <c r="M22" s="3">
        <v>0.27600000000000002</v>
      </c>
      <c r="N22" s="3">
        <v>0.33600000000000002</v>
      </c>
      <c r="O22" s="3">
        <v>0.26700000000000002</v>
      </c>
      <c r="P22" s="3">
        <v>0.313</v>
      </c>
      <c r="Q22" s="3">
        <v>0.28799999999999998</v>
      </c>
      <c r="R22" s="3">
        <v>0.33100000000000002</v>
      </c>
      <c r="S22" s="3">
        <v>0.27900000000000003</v>
      </c>
      <c r="T22" s="3">
        <v>0.32400000000000001</v>
      </c>
      <c r="U22" s="3">
        <v>0.28000000000000003</v>
      </c>
      <c r="V22" s="3">
        <v>0.32600000000000001</v>
      </c>
      <c r="W22" s="3">
        <v>0.35</v>
      </c>
      <c r="X22" s="3">
        <v>0.40100000000000002</v>
      </c>
      <c r="Y22" s="3">
        <v>0.30499999999999999</v>
      </c>
      <c r="Z22" s="3">
        <v>0.34899999999999998</v>
      </c>
    </row>
    <row r="23" spans="1:26" x14ac:dyDescent="0.2">
      <c r="A23" s="11" t="s">
        <v>9</v>
      </c>
      <c r="B23" s="1">
        <v>96</v>
      </c>
      <c r="C23" s="2">
        <v>0.13177268207073212</v>
      </c>
      <c r="D23" s="7">
        <f t="shared" si="0"/>
        <v>0.13100000000000001</v>
      </c>
      <c r="E23" s="2">
        <v>0.22663320600986481</v>
      </c>
      <c r="F23" s="8">
        <f t="shared" si="1"/>
        <v>0.22600000000000001</v>
      </c>
      <c r="G23" s="3">
        <v>0.13</v>
      </c>
      <c r="H23" s="3">
        <v>0.219</v>
      </c>
      <c r="I23" s="3">
        <v>0.13500000000000001</v>
      </c>
      <c r="J23" s="3">
        <v>0.22900000000000001</v>
      </c>
      <c r="K23" s="3">
        <v>0.14099999999999999</v>
      </c>
      <c r="L23" s="3">
        <v>0.23499999999999999</v>
      </c>
      <c r="M23" s="3">
        <v>0.151</v>
      </c>
      <c r="N23" s="3">
        <v>0.245</v>
      </c>
      <c r="O23" s="3">
        <v>0.159</v>
      </c>
      <c r="P23" s="3">
        <v>0.24399999999999999</v>
      </c>
      <c r="Q23" s="3">
        <v>0.14799999999999999</v>
      </c>
      <c r="R23" s="3">
        <v>0.24</v>
      </c>
      <c r="S23" s="3">
        <v>0.154</v>
      </c>
      <c r="T23" s="3">
        <v>0.246</v>
      </c>
      <c r="U23" s="3">
        <v>0.18099999999999999</v>
      </c>
      <c r="V23" s="3">
        <v>0.27</v>
      </c>
      <c r="W23" s="3">
        <v>0.19700000000000001</v>
      </c>
      <c r="X23" s="3">
        <v>0.28199999999999997</v>
      </c>
      <c r="Y23" s="3">
        <v>0.193</v>
      </c>
      <c r="Z23" s="3">
        <v>0.308</v>
      </c>
    </row>
    <row r="24" spans="1:26" x14ac:dyDescent="0.2">
      <c r="A24" s="11"/>
      <c r="B24" s="1">
        <v>192</v>
      </c>
      <c r="C24" s="2">
        <v>0.14109523594379425</v>
      </c>
      <c r="D24" s="7">
        <f t="shared" si="0"/>
        <v>0.14099999999999999</v>
      </c>
      <c r="E24" s="2">
        <v>0.23986858129501343</v>
      </c>
      <c r="F24" s="8">
        <f t="shared" si="1"/>
        <v>0.23899999999999999</v>
      </c>
      <c r="G24" s="3">
        <v>0.15</v>
      </c>
      <c r="H24" s="3">
        <v>0.23699999999999999</v>
      </c>
      <c r="I24" s="3">
        <v>0.151</v>
      </c>
      <c r="J24" s="3">
        <v>0.246</v>
      </c>
      <c r="K24" s="3">
        <v>0.151</v>
      </c>
      <c r="L24" s="3">
        <v>0.247</v>
      </c>
      <c r="M24" s="3">
        <v>0.16300000000000001</v>
      </c>
      <c r="N24" s="3">
        <v>0.25600000000000001</v>
      </c>
      <c r="O24" s="3">
        <v>0.16</v>
      </c>
      <c r="P24" s="3">
        <v>0.248</v>
      </c>
      <c r="Q24" s="3">
        <v>0.16200000000000001</v>
      </c>
      <c r="R24" s="3">
        <v>0.253</v>
      </c>
      <c r="S24" s="3">
        <v>0.16800000000000001</v>
      </c>
      <c r="T24" s="3">
        <v>0.25800000000000001</v>
      </c>
      <c r="U24" s="3">
        <v>0.188</v>
      </c>
      <c r="V24" s="3">
        <v>0.27400000000000002</v>
      </c>
      <c r="W24" s="3">
        <v>0.19600000000000001</v>
      </c>
      <c r="X24" s="3">
        <v>0.28499999999999998</v>
      </c>
      <c r="Y24" s="3">
        <v>0.20100000000000001</v>
      </c>
      <c r="Z24" s="3">
        <v>0.315</v>
      </c>
    </row>
    <row r="25" spans="1:26" x14ac:dyDescent="0.2">
      <c r="A25" s="11"/>
      <c r="B25" s="1">
        <v>336</v>
      </c>
      <c r="C25" s="2">
        <v>0.16397526860237122</v>
      </c>
      <c r="D25" s="7">
        <f t="shared" si="0"/>
        <v>0.16300000000000001</v>
      </c>
      <c r="E25" s="2">
        <v>0.25961774587631226</v>
      </c>
      <c r="F25" s="8">
        <f t="shared" si="1"/>
        <v>0.25900000000000001</v>
      </c>
      <c r="G25" s="3">
        <v>0.16500000000000001</v>
      </c>
      <c r="H25" s="3">
        <v>0.255</v>
      </c>
      <c r="I25" s="3">
        <v>0.17199999999999999</v>
      </c>
      <c r="J25" s="3">
        <v>0.26800000000000002</v>
      </c>
      <c r="K25" s="3">
        <v>0.17299999999999999</v>
      </c>
      <c r="L25" s="3">
        <v>0.26700000000000002</v>
      </c>
      <c r="M25" s="3">
        <v>0.18</v>
      </c>
      <c r="N25" s="3">
        <v>0.27400000000000002</v>
      </c>
      <c r="O25" s="3">
        <v>0.182</v>
      </c>
      <c r="P25" s="3">
        <v>0.26700000000000002</v>
      </c>
      <c r="Q25" s="3">
        <v>0.17799999999999999</v>
      </c>
      <c r="R25" s="3">
        <v>0.26900000000000002</v>
      </c>
      <c r="S25" s="3">
        <v>0.185</v>
      </c>
      <c r="T25" s="3">
        <v>0.27500000000000002</v>
      </c>
      <c r="U25" s="3">
        <v>0.20399999999999999</v>
      </c>
      <c r="V25" s="3">
        <v>0.29299999999999998</v>
      </c>
      <c r="W25" s="3">
        <v>0.20899999999999999</v>
      </c>
      <c r="X25" s="3">
        <v>0.30099999999999999</v>
      </c>
      <c r="Y25" s="3">
        <v>0.214</v>
      </c>
      <c r="Z25" s="3">
        <v>0.32900000000000001</v>
      </c>
    </row>
    <row r="26" spans="1:26" x14ac:dyDescent="0.2">
      <c r="A26" s="11"/>
      <c r="B26" s="1">
        <v>720</v>
      </c>
      <c r="C26" s="2">
        <v>0.18813106417655945</v>
      </c>
      <c r="D26" s="7">
        <f t="shared" si="0"/>
        <v>0.188</v>
      </c>
      <c r="E26" s="2">
        <v>0.28333020210266113</v>
      </c>
      <c r="F26" s="8">
        <f t="shared" si="1"/>
        <v>0.28299999999999997</v>
      </c>
      <c r="G26" s="3">
        <v>0.187</v>
      </c>
      <c r="H26" s="3">
        <v>0.27400000000000002</v>
      </c>
      <c r="I26" s="3">
        <v>0.20399999999999999</v>
      </c>
      <c r="J26" s="3">
        <v>0.29399999999999998</v>
      </c>
      <c r="K26" s="3">
        <v>0.20100000000000001</v>
      </c>
      <c r="L26" s="3">
        <v>0.29299999999999998</v>
      </c>
      <c r="M26" s="3">
        <v>0.224</v>
      </c>
      <c r="N26" s="3">
        <v>0.311</v>
      </c>
      <c r="O26" s="3">
        <v>0.216</v>
      </c>
      <c r="P26" s="3">
        <v>0.29799999999999999</v>
      </c>
      <c r="Q26" s="3">
        <v>0.22500000000000001</v>
      </c>
      <c r="R26" s="3">
        <v>0.317</v>
      </c>
      <c r="S26" s="3">
        <v>0.22500000000000001</v>
      </c>
      <c r="T26" s="3">
        <v>0.312</v>
      </c>
      <c r="U26" s="3">
        <v>0.246</v>
      </c>
      <c r="V26" s="3">
        <v>0.32400000000000001</v>
      </c>
      <c r="W26" s="3">
        <v>0.245</v>
      </c>
      <c r="X26" s="3">
        <v>0.33300000000000002</v>
      </c>
      <c r="Y26" s="3">
        <v>0.246</v>
      </c>
      <c r="Z26" s="3">
        <v>0.35499999999999998</v>
      </c>
    </row>
    <row r="27" spans="1:26" x14ac:dyDescent="0.2">
      <c r="A27" s="11"/>
      <c r="B27" s="4" t="s">
        <v>0</v>
      </c>
      <c r="C27" s="5">
        <f>AVERAGE(C23:C26)</f>
        <v>0.15624356269836426</v>
      </c>
      <c r="D27" s="7">
        <f t="shared" si="0"/>
        <v>0.156</v>
      </c>
      <c r="E27" s="5">
        <f>AVERAGE(E23:E26)</f>
        <v>0.25236243382096291</v>
      </c>
      <c r="F27" s="8">
        <f t="shared" si="1"/>
        <v>0.252</v>
      </c>
      <c r="G27" s="3">
        <v>0.158</v>
      </c>
      <c r="H27" s="3">
        <v>0.246</v>
      </c>
      <c r="I27" s="3">
        <v>0.16600000000000001</v>
      </c>
      <c r="J27" s="3">
        <v>0.25900000000000001</v>
      </c>
      <c r="K27" s="3">
        <v>0.16600000000000001</v>
      </c>
      <c r="L27" s="3">
        <v>0.26</v>
      </c>
      <c r="M27" s="3">
        <v>0.17899999999999999</v>
      </c>
      <c r="N27" s="3">
        <v>0.27100000000000002</v>
      </c>
      <c r="O27" s="3">
        <v>0.17899999999999999</v>
      </c>
      <c r="P27" s="3">
        <v>0.26400000000000001</v>
      </c>
      <c r="Q27" s="3">
        <v>0.17799999999999999</v>
      </c>
      <c r="R27" s="3">
        <v>0.26900000000000002</v>
      </c>
      <c r="S27" s="3">
        <v>0.183</v>
      </c>
      <c r="T27" s="3">
        <v>0.27200000000000002</v>
      </c>
      <c r="U27" s="3">
        <v>0.20399999999999999</v>
      </c>
      <c r="V27" s="3">
        <v>0.28999999999999998</v>
      </c>
      <c r="W27" s="3">
        <v>0.21199999999999999</v>
      </c>
      <c r="X27" s="3">
        <v>0.3</v>
      </c>
      <c r="Y27" s="3">
        <v>0.214</v>
      </c>
      <c r="Z27" s="3">
        <v>0.32700000000000001</v>
      </c>
    </row>
    <row r="28" spans="1:26" x14ac:dyDescent="0.2">
      <c r="A28" s="11" t="s">
        <v>10</v>
      </c>
      <c r="B28" s="1">
        <v>96</v>
      </c>
      <c r="C28" s="2">
        <v>0.15067587792873383</v>
      </c>
      <c r="D28" s="7">
        <f t="shared" si="0"/>
        <v>0.15</v>
      </c>
      <c r="E28" s="2">
        <v>0.19438441097736359</v>
      </c>
      <c r="F28" s="8">
        <f t="shared" si="1"/>
        <v>0.19400000000000001</v>
      </c>
      <c r="G28" s="3">
        <v>0.153</v>
      </c>
      <c r="H28" s="3">
        <v>0.19</v>
      </c>
      <c r="I28" s="3">
        <v>0.16</v>
      </c>
      <c r="J28" s="3">
        <v>0.20599999999999999</v>
      </c>
      <c r="K28" s="3">
        <v>0.16200000000000001</v>
      </c>
      <c r="L28" s="3">
        <v>0.20699999999999999</v>
      </c>
      <c r="M28" s="3">
        <v>0.16200000000000001</v>
      </c>
      <c r="N28" s="3">
        <v>0.20699999999999999</v>
      </c>
      <c r="O28" s="3">
        <v>0.16800000000000001</v>
      </c>
      <c r="P28" s="3">
        <v>0.20300000000000001</v>
      </c>
      <c r="Q28" s="3">
        <v>0.17399999999999999</v>
      </c>
      <c r="R28" s="3">
        <v>0.214</v>
      </c>
      <c r="S28" s="3">
        <v>0.16300000000000001</v>
      </c>
      <c r="T28" s="3">
        <v>0.20899999999999999</v>
      </c>
      <c r="U28" s="3">
        <v>0.17699999999999999</v>
      </c>
      <c r="V28" s="3">
        <v>0.218</v>
      </c>
      <c r="W28" s="3">
        <v>0.19600000000000001</v>
      </c>
      <c r="X28" s="3">
        <v>0.255</v>
      </c>
      <c r="Y28" s="3">
        <v>0.217</v>
      </c>
      <c r="Z28" s="3">
        <v>0.29599999999999999</v>
      </c>
    </row>
    <row r="29" spans="1:26" x14ac:dyDescent="0.2">
      <c r="A29" s="11"/>
      <c r="B29" s="1">
        <v>192</v>
      </c>
      <c r="C29" s="2">
        <v>0.19975751638412476</v>
      </c>
      <c r="D29" s="7">
        <f t="shared" si="0"/>
        <v>0.19900000000000001</v>
      </c>
      <c r="E29" s="2">
        <v>0.24056372046470642</v>
      </c>
      <c r="F29" s="8">
        <f t="shared" si="1"/>
        <v>0.24</v>
      </c>
      <c r="G29" s="3">
        <v>0.20399999999999999</v>
      </c>
      <c r="H29" s="3">
        <v>0.23899999999999999</v>
      </c>
      <c r="I29" s="3">
        <v>0.20799999999999999</v>
      </c>
      <c r="J29" s="3">
        <v>0.25</v>
      </c>
      <c r="K29" s="3">
        <v>0.20799999999999999</v>
      </c>
      <c r="L29" s="3">
        <v>0.248</v>
      </c>
      <c r="M29" s="3">
        <v>0.20899999999999999</v>
      </c>
      <c r="N29" s="3">
        <v>0.252</v>
      </c>
      <c r="O29" s="3">
        <v>0.214</v>
      </c>
      <c r="P29" s="3">
        <v>0.245</v>
      </c>
      <c r="Q29" s="3">
        <v>0.221</v>
      </c>
      <c r="R29" s="3">
        <v>0.254</v>
      </c>
      <c r="S29" s="3">
        <v>0.20799999999999999</v>
      </c>
      <c r="T29" s="3">
        <v>0.25</v>
      </c>
      <c r="U29" s="3">
        <v>0.22500000000000001</v>
      </c>
      <c r="V29" s="3">
        <v>0.25900000000000001</v>
      </c>
      <c r="W29" s="3">
        <v>0.23699999999999999</v>
      </c>
      <c r="X29" s="3">
        <v>0.29599999999999999</v>
      </c>
      <c r="Y29" s="3">
        <v>0.27600000000000002</v>
      </c>
      <c r="Z29" s="3">
        <v>0.33600000000000002</v>
      </c>
    </row>
    <row r="30" spans="1:26" x14ac:dyDescent="0.2">
      <c r="A30" s="11"/>
      <c r="B30" s="1">
        <v>336</v>
      </c>
      <c r="C30" s="2">
        <v>0.25626537203788757</v>
      </c>
      <c r="D30" s="7">
        <f t="shared" si="0"/>
        <v>0.25600000000000001</v>
      </c>
      <c r="E30" s="2">
        <v>0.28458598256111145</v>
      </c>
      <c r="F30" s="8">
        <f t="shared" si="1"/>
        <v>0.28399999999999997</v>
      </c>
      <c r="G30" s="3">
        <v>0.26100000000000001</v>
      </c>
      <c r="H30" s="3">
        <v>0.28199999999999997</v>
      </c>
      <c r="I30" s="3">
        <v>0.26900000000000002</v>
      </c>
      <c r="J30" s="3">
        <v>0.29599999999999999</v>
      </c>
      <c r="K30" s="3">
        <v>0.26300000000000001</v>
      </c>
      <c r="L30" s="3">
        <v>0.28999999999999998</v>
      </c>
      <c r="M30" s="3">
        <v>0.26300000000000001</v>
      </c>
      <c r="N30" s="3">
        <v>0.29199999999999998</v>
      </c>
      <c r="O30" s="3">
        <v>0.23599999999999999</v>
      </c>
      <c r="P30" s="3">
        <v>0.27300000000000002</v>
      </c>
      <c r="Q30" s="3">
        <v>0.27800000000000002</v>
      </c>
      <c r="R30" s="3">
        <v>0.29599999999999999</v>
      </c>
      <c r="S30" s="3">
        <v>0.26200000000000001</v>
      </c>
      <c r="T30" s="3">
        <v>0.29199999999999998</v>
      </c>
      <c r="U30" s="3">
        <v>0.27800000000000002</v>
      </c>
      <c r="V30" s="3">
        <v>0.29699999999999999</v>
      </c>
      <c r="W30" s="3">
        <v>0.28299999999999997</v>
      </c>
      <c r="X30" s="3">
        <v>0.33500000000000002</v>
      </c>
      <c r="Y30" s="3">
        <v>0.33900000000000002</v>
      </c>
      <c r="Z30" s="3">
        <v>0.38</v>
      </c>
    </row>
    <row r="31" spans="1:26" x14ac:dyDescent="0.2">
      <c r="A31" s="11"/>
      <c r="B31" s="1">
        <v>720</v>
      </c>
      <c r="C31" s="2">
        <v>0.33585551381111145</v>
      </c>
      <c r="D31" s="7">
        <f t="shared" si="0"/>
        <v>0.33500000000000002</v>
      </c>
      <c r="E31" s="2">
        <v>0.33893623948097229</v>
      </c>
      <c r="F31" s="8">
        <f t="shared" si="1"/>
        <v>0.33800000000000002</v>
      </c>
      <c r="G31" s="3">
        <v>0.34200000000000003</v>
      </c>
      <c r="H31" s="3">
        <v>0.33600000000000002</v>
      </c>
      <c r="I31" s="3">
        <v>0.34300000000000003</v>
      </c>
      <c r="J31" s="3">
        <v>0.33400000000000002</v>
      </c>
      <c r="K31" s="3">
        <v>0.34</v>
      </c>
      <c r="L31" s="3">
        <v>0.34100000000000003</v>
      </c>
      <c r="M31" s="3">
        <v>0.34399999999999997</v>
      </c>
      <c r="N31" s="3">
        <v>0.34399999999999997</v>
      </c>
      <c r="O31" s="3">
        <v>0.309</v>
      </c>
      <c r="P31" s="3">
        <v>0.32100000000000001</v>
      </c>
      <c r="Q31" s="3">
        <v>0.35799999999999998</v>
      </c>
      <c r="R31" s="3">
        <v>0.34699999999999998</v>
      </c>
      <c r="S31" s="3">
        <v>0.34499999999999997</v>
      </c>
      <c r="T31" s="3">
        <v>0.34499999999999997</v>
      </c>
      <c r="U31" s="3">
        <v>0.35399999999999998</v>
      </c>
      <c r="V31" s="3">
        <v>0.34799999999999998</v>
      </c>
      <c r="W31" s="3">
        <v>0.34499999999999997</v>
      </c>
      <c r="X31" s="3">
        <v>0.38100000000000001</v>
      </c>
      <c r="Y31" s="3">
        <v>0.40300000000000002</v>
      </c>
      <c r="Z31" s="3">
        <v>0.42799999999999999</v>
      </c>
    </row>
    <row r="32" spans="1:26" x14ac:dyDescent="0.2">
      <c r="A32" s="11"/>
      <c r="B32" s="4" t="s">
        <v>0</v>
      </c>
      <c r="C32" s="5">
        <f>AVERAGE(C28:C31)</f>
        <v>0.2356385700404644</v>
      </c>
      <c r="D32" s="7">
        <f t="shared" si="0"/>
        <v>0.23499999999999999</v>
      </c>
      <c r="E32" s="5">
        <f>AVERAGE(E28:E31)</f>
        <v>0.26461758837103844</v>
      </c>
      <c r="F32" s="8">
        <f t="shared" si="1"/>
        <v>0.26400000000000001</v>
      </c>
      <c r="G32" s="3">
        <v>0.24</v>
      </c>
      <c r="H32" s="3">
        <v>0.26200000000000001</v>
      </c>
      <c r="I32" s="3">
        <v>0.245</v>
      </c>
      <c r="J32" s="3">
        <v>0.27100000000000002</v>
      </c>
      <c r="K32" s="3">
        <v>0.24299999999999999</v>
      </c>
      <c r="L32" s="3">
        <v>0.27100000000000002</v>
      </c>
      <c r="M32" s="3">
        <v>0.24399999999999999</v>
      </c>
      <c r="N32" s="3">
        <v>0.27300000000000002</v>
      </c>
      <c r="O32" s="3">
        <v>0.23200000000000001</v>
      </c>
      <c r="P32" s="3">
        <v>0.26100000000000001</v>
      </c>
      <c r="Q32" s="3">
        <v>0.25700000000000001</v>
      </c>
      <c r="R32" s="3">
        <v>0.27700000000000002</v>
      </c>
      <c r="S32" s="3">
        <v>0.24399999999999999</v>
      </c>
      <c r="T32" s="3">
        <v>0.27300000000000002</v>
      </c>
      <c r="U32" s="3">
        <v>0.25800000000000001</v>
      </c>
      <c r="V32" s="3">
        <v>0.28000000000000003</v>
      </c>
      <c r="W32" s="3">
        <v>0.26500000000000001</v>
      </c>
      <c r="X32" s="3">
        <v>0.317</v>
      </c>
      <c r="Y32" s="3">
        <v>0.309</v>
      </c>
      <c r="Z32" s="3">
        <v>0.36</v>
      </c>
    </row>
    <row r="33" spans="1:26" x14ac:dyDescent="0.2">
      <c r="A33" s="11" t="s">
        <v>11</v>
      </c>
      <c r="B33" s="1">
        <v>96</v>
      </c>
      <c r="C33" s="2">
        <v>0.15983776748180389</v>
      </c>
      <c r="D33" s="7">
        <f t="shared" si="0"/>
        <v>0.159</v>
      </c>
      <c r="E33" s="2">
        <v>0.22940804064273834</v>
      </c>
      <c r="F33" s="8">
        <f t="shared" si="1"/>
        <v>0.22900000000000001</v>
      </c>
      <c r="G33" s="3">
        <v>0.16800000000000001</v>
      </c>
      <c r="H33" s="3">
        <v>0.2</v>
      </c>
      <c r="I33" s="3">
        <v>0.192</v>
      </c>
      <c r="J33" s="3">
        <v>0.222</v>
      </c>
      <c r="K33" s="3">
        <v>0.16300000000000001</v>
      </c>
      <c r="L33" s="3">
        <v>0.23200000000000001</v>
      </c>
      <c r="M33" s="3">
        <v>0.183</v>
      </c>
      <c r="N33" s="3">
        <v>0.23400000000000001</v>
      </c>
      <c r="O33" s="3">
        <v>0.20100000000000001</v>
      </c>
      <c r="P33" s="3">
        <v>0.215</v>
      </c>
      <c r="Q33" s="3">
        <v>0.20300000000000001</v>
      </c>
      <c r="R33" s="3">
        <v>0.23699999999999999</v>
      </c>
      <c r="S33" s="3">
        <v>0.189</v>
      </c>
      <c r="T33" s="3">
        <v>0.25900000000000001</v>
      </c>
      <c r="U33" s="3">
        <v>0.22500000000000001</v>
      </c>
      <c r="V33" s="3">
        <v>0.27</v>
      </c>
      <c r="W33" s="3">
        <v>0.28999999999999998</v>
      </c>
      <c r="X33" s="3">
        <v>0.378</v>
      </c>
      <c r="Y33" s="3">
        <v>0.24199999999999999</v>
      </c>
      <c r="Z33" s="3">
        <v>0.34200000000000003</v>
      </c>
    </row>
    <row r="34" spans="1:26" x14ac:dyDescent="0.2">
      <c r="A34" s="11"/>
      <c r="B34" s="1">
        <v>192</v>
      </c>
      <c r="C34" s="2">
        <v>0.18061926960945129</v>
      </c>
      <c r="D34" s="7">
        <f t="shared" si="0"/>
        <v>0.18</v>
      </c>
      <c r="E34" s="2">
        <v>0.24890908598899841</v>
      </c>
      <c r="F34" s="8">
        <f t="shared" si="1"/>
        <v>0.248</v>
      </c>
      <c r="G34" s="3">
        <v>0.19</v>
      </c>
      <c r="H34" s="3">
        <v>0.22</v>
      </c>
      <c r="I34" s="3">
        <v>0.23</v>
      </c>
      <c r="J34" s="3">
        <v>0.251</v>
      </c>
      <c r="K34" s="3">
        <v>0.182</v>
      </c>
      <c r="L34" s="3">
        <v>0.247</v>
      </c>
      <c r="M34" s="3">
        <v>0.21</v>
      </c>
      <c r="N34" s="3">
        <v>0.254</v>
      </c>
      <c r="O34" s="3">
        <v>0.23499999999999999</v>
      </c>
      <c r="P34" s="3">
        <v>0.23400000000000001</v>
      </c>
      <c r="Q34" s="3">
        <v>0.23300000000000001</v>
      </c>
      <c r="R34" s="3">
        <v>0.26100000000000001</v>
      </c>
      <c r="S34" s="3">
        <v>0.222</v>
      </c>
      <c r="T34" s="3">
        <v>0.28299999999999997</v>
      </c>
      <c r="U34" s="3">
        <v>0.253</v>
      </c>
      <c r="V34" s="3">
        <v>0.28799999999999998</v>
      </c>
      <c r="W34" s="3">
        <v>0.32</v>
      </c>
      <c r="X34" s="3">
        <v>0.39800000000000002</v>
      </c>
      <c r="Y34" s="3">
        <v>0.28499999999999998</v>
      </c>
      <c r="Z34" s="3">
        <v>0.38</v>
      </c>
    </row>
    <row r="35" spans="1:26" x14ac:dyDescent="0.2">
      <c r="A35" s="11"/>
      <c r="B35" s="1">
        <v>336</v>
      </c>
      <c r="C35" s="2">
        <v>0.19066150486469269</v>
      </c>
      <c r="D35" s="7">
        <f t="shared" si="0"/>
        <v>0.19</v>
      </c>
      <c r="E35" s="2">
        <v>0.25321558117866516</v>
      </c>
      <c r="F35" s="8">
        <f t="shared" si="1"/>
        <v>0.253</v>
      </c>
      <c r="G35" s="3">
        <v>0.224</v>
      </c>
      <c r="H35" s="3">
        <v>0.23100000000000001</v>
      </c>
      <c r="I35" s="3">
        <v>0.24299999999999999</v>
      </c>
      <c r="J35" s="3">
        <v>0.26300000000000001</v>
      </c>
      <c r="K35" s="3">
        <v>0.193</v>
      </c>
      <c r="L35" s="3">
        <v>0.25700000000000001</v>
      </c>
      <c r="M35" s="3">
        <v>0.217</v>
      </c>
      <c r="N35" s="3">
        <v>0.26300000000000001</v>
      </c>
      <c r="O35" s="3">
        <v>0.25800000000000001</v>
      </c>
      <c r="P35" s="3">
        <v>0.249</v>
      </c>
      <c r="Q35" s="3">
        <v>0.248</v>
      </c>
      <c r="R35" s="3">
        <v>0.27300000000000002</v>
      </c>
      <c r="S35" s="3">
        <v>0.23100000000000001</v>
      </c>
      <c r="T35" s="3">
        <v>0.29199999999999998</v>
      </c>
      <c r="U35" s="3">
        <v>0.27</v>
      </c>
      <c r="V35" s="3">
        <v>0.29799999999999999</v>
      </c>
      <c r="W35" s="3">
        <v>0.35299999999999998</v>
      </c>
      <c r="X35" s="3">
        <v>0.41499999999999998</v>
      </c>
      <c r="Y35" s="3">
        <v>0.28199999999999997</v>
      </c>
      <c r="Z35" s="3">
        <v>0.376</v>
      </c>
    </row>
    <row r="36" spans="1:26" x14ac:dyDescent="0.2">
      <c r="A36" s="11"/>
      <c r="B36" s="1">
        <v>720</v>
      </c>
      <c r="C36" s="2">
        <v>0.19956880807876587</v>
      </c>
      <c r="D36" s="7">
        <f t="shared" si="0"/>
        <v>0.19900000000000001</v>
      </c>
      <c r="E36" s="2">
        <v>0.2540149986743927</v>
      </c>
      <c r="F36" s="8">
        <f t="shared" si="1"/>
        <v>0.254</v>
      </c>
      <c r="G36" s="3">
        <v>0.20799999999999999</v>
      </c>
      <c r="H36" s="3">
        <v>0.24299999999999999</v>
      </c>
      <c r="I36" s="3">
        <v>0.24299999999999999</v>
      </c>
      <c r="J36" s="3">
        <v>0.26500000000000001</v>
      </c>
      <c r="K36" s="3">
        <v>0.19900000000000001</v>
      </c>
      <c r="L36" s="3">
        <v>0.252</v>
      </c>
      <c r="M36" s="3">
        <v>0.221</v>
      </c>
      <c r="N36" s="3">
        <v>0.27</v>
      </c>
      <c r="O36" s="3">
        <v>0.26</v>
      </c>
      <c r="P36" s="3">
        <v>0.247</v>
      </c>
      <c r="Q36" s="3">
        <v>0.249</v>
      </c>
      <c r="R36" s="3">
        <v>0.27500000000000002</v>
      </c>
      <c r="S36" s="3">
        <v>0.223</v>
      </c>
      <c r="T36" s="3">
        <v>0.28499999999999998</v>
      </c>
      <c r="U36" s="3">
        <v>0.26900000000000002</v>
      </c>
      <c r="V36" s="3">
        <v>0.29899999999999999</v>
      </c>
      <c r="W36" s="3">
        <v>0.35599999999999998</v>
      </c>
      <c r="X36" s="3">
        <v>0.41299999999999998</v>
      </c>
      <c r="Y36" s="3">
        <v>0.35699999999999998</v>
      </c>
      <c r="Z36" s="3">
        <v>0.42699999999999999</v>
      </c>
    </row>
    <row r="37" spans="1:26" x14ac:dyDescent="0.2">
      <c r="A37" s="11"/>
      <c r="B37" s="4" t="s">
        <v>0</v>
      </c>
      <c r="C37" s="5">
        <f>AVERAGE(C33:C36)</f>
        <v>0.18267183750867844</v>
      </c>
      <c r="D37" s="7">
        <f t="shared" si="0"/>
        <v>0.182</v>
      </c>
      <c r="E37" s="5">
        <f>AVERAGE(E33:E36)</f>
        <v>0.24638692662119865</v>
      </c>
      <c r="F37" s="8">
        <f t="shared" si="1"/>
        <v>0.246</v>
      </c>
      <c r="G37" s="3">
        <v>0.19700000000000001</v>
      </c>
      <c r="H37" s="3">
        <v>0.224</v>
      </c>
      <c r="I37" s="3">
        <v>0.22700000000000001</v>
      </c>
      <c r="J37" s="3">
        <v>0.25</v>
      </c>
      <c r="K37" s="3">
        <v>0.184</v>
      </c>
      <c r="L37" s="3">
        <v>0.247</v>
      </c>
      <c r="M37" s="3">
        <v>0.20699999999999999</v>
      </c>
      <c r="N37" s="3">
        <v>0.255</v>
      </c>
      <c r="O37" s="3">
        <v>0.23899999999999999</v>
      </c>
      <c r="P37" s="3">
        <v>0.23599999999999999</v>
      </c>
      <c r="Q37" s="3">
        <v>0.23300000000000001</v>
      </c>
      <c r="R37" s="3">
        <v>0.26200000000000001</v>
      </c>
      <c r="S37" s="3">
        <v>0.216</v>
      </c>
      <c r="T37" s="3">
        <v>0.28000000000000003</v>
      </c>
      <c r="U37" s="3">
        <v>0.254</v>
      </c>
      <c r="V37" s="3">
        <v>0.28899999999999998</v>
      </c>
      <c r="W37" s="3">
        <v>0.33</v>
      </c>
      <c r="X37" s="3">
        <v>0.40100000000000002</v>
      </c>
      <c r="Y37" s="3">
        <v>0.29099999999999998</v>
      </c>
      <c r="Z37" s="3">
        <v>0.38100000000000001</v>
      </c>
    </row>
    <row r="38" spans="1:26" x14ac:dyDescent="0.2">
      <c r="A38" s="11" t="s">
        <v>12</v>
      </c>
      <c r="B38" s="1">
        <v>96</v>
      </c>
      <c r="C38" s="2">
        <v>8.3977818489074707E-2</v>
      </c>
      <c r="D38" s="7">
        <f t="shared" si="0"/>
        <v>8.3000000000000004E-2</v>
      </c>
      <c r="E38" s="2">
        <v>0.20274776220321655</v>
      </c>
      <c r="F38" s="8">
        <f t="shared" si="1"/>
        <v>0.20200000000000001</v>
      </c>
      <c r="G38" s="3">
        <v>8.3000000000000004E-2</v>
      </c>
      <c r="H38" s="3">
        <v>0.20200000000000001</v>
      </c>
      <c r="K38" s="3">
        <v>8.5000000000000006E-2</v>
      </c>
      <c r="L38" s="3">
        <v>0.20399999999999999</v>
      </c>
      <c r="M38" s="3">
        <v>8.1000000000000003E-2</v>
      </c>
      <c r="N38" s="3">
        <v>0.19900000000000001</v>
      </c>
      <c r="O38" s="3">
        <v>8.2000000000000003E-2</v>
      </c>
      <c r="P38" s="3">
        <v>0.19900000000000001</v>
      </c>
      <c r="Q38" s="3">
        <v>8.5999999999999993E-2</v>
      </c>
      <c r="R38" s="3">
        <v>0.20599999999999999</v>
      </c>
      <c r="S38" s="3">
        <v>8.6999999999999994E-2</v>
      </c>
      <c r="T38" s="3">
        <v>0.20599999999999999</v>
      </c>
      <c r="U38" s="3">
        <v>0.08</v>
      </c>
      <c r="V38" s="3">
        <v>0.19600000000000001</v>
      </c>
      <c r="W38" s="3">
        <v>8.7999999999999995E-2</v>
      </c>
      <c r="X38" s="3">
        <v>0.218</v>
      </c>
      <c r="Y38" s="3">
        <v>0.13100000000000001</v>
      </c>
      <c r="Z38" s="3">
        <v>0.28399999999999997</v>
      </c>
    </row>
    <row r="39" spans="1:26" x14ac:dyDescent="0.2">
      <c r="A39" s="11"/>
      <c r="B39" s="1">
        <v>192</v>
      </c>
      <c r="C39" s="2">
        <v>0.17626334726810455</v>
      </c>
      <c r="D39" s="7">
        <f t="shared" si="0"/>
        <v>0.17599999999999999</v>
      </c>
      <c r="E39" s="2">
        <v>0.29905030131340027</v>
      </c>
      <c r="F39" s="8">
        <f t="shared" si="1"/>
        <v>0.29899999999999999</v>
      </c>
      <c r="G39" s="3">
        <v>0.17599999999999999</v>
      </c>
      <c r="H39" s="3">
        <v>0.29899999999999999</v>
      </c>
      <c r="K39" s="3">
        <v>0.17799999999999999</v>
      </c>
      <c r="L39" s="3">
        <v>0.30099999999999999</v>
      </c>
      <c r="M39" s="3">
        <v>0.17100000000000001</v>
      </c>
      <c r="N39" s="3">
        <v>0.29399999999999998</v>
      </c>
      <c r="O39" s="3">
        <v>0.17699999999999999</v>
      </c>
      <c r="P39" s="3">
        <v>0.29799999999999999</v>
      </c>
      <c r="Q39" s="3">
        <v>0.17699999999999999</v>
      </c>
      <c r="R39" s="3">
        <v>0.29899999999999999</v>
      </c>
      <c r="S39" s="3">
        <v>0.193</v>
      </c>
      <c r="T39" s="3">
        <v>0.31</v>
      </c>
      <c r="U39" s="3">
        <v>0.17100000000000001</v>
      </c>
      <c r="V39" s="3">
        <v>0.29299999999999998</v>
      </c>
      <c r="W39" s="3">
        <v>0.17599999999999999</v>
      </c>
      <c r="X39" s="3">
        <v>0.315</v>
      </c>
      <c r="Y39" s="3">
        <v>0.27700000000000002</v>
      </c>
      <c r="Z39" s="3">
        <v>0.42</v>
      </c>
    </row>
    <row r="40" spans="1:26" x14ac:dyDescent="0.2">
      <c r="A40" s="11"/>
      <c r="B40" s="1">
        <v>336</v>
      </c>
      <c r="C40" s="2">
        <v>0.32471033930778503</v>
      </c>
      <c r="D40" s="7">
        <f t="shared" si="0"/>
        <v>0.32400000000000001</v>
      </c>
      <c r="E40" s="2">
        <v>0.4140002429485321</v>
      </c>
      <c r="F40" s="8">
        <f t="shared" si="1"/>
        <v>0.41399999999999998</v>
      </c>
      <c r="G40" s="3">
        <v>0.33400000000000002</v>
      </c>
      <c r="H40" s="3">
        <v>0.41699999999999998</v>
      </c>
      <c r="K40" s="3">
        <v>0.33900000000000002</v>
      </c>
      <c r="L40" s="3">
        <v>0.42199999999999999</v>
      </c>
      <c r="M40" s="3">
        <v>0.32100000000000001</v>
      </c>
      <c r="N40" s="3">
        <v>0.40899999999999997</v>
      </c>
      <c r="O40" s="3">
        <v>0.34899999999999998</v>
      </c>
      <c r="P40" s="3">
        <v>0.42499999999999999</v>
      </c>
      <c r="Q40" s="3">
        <v>0.33100000000000002</v>
      </c>
      <c r="R40" s="3">
        <v>0.41699999999999998</v>
      </c>
      <c r="S40" s="3">
        <v>0.34499999999999997</v>
      </c>
      <c r="T40" s="3">
        <v>0.42499999999999999</v>
      </c>
      <c r="U40" s="3">
        <v>0.317</v>
      </c>
      <c r="V40" s="3">
        <v>0.40600000000000003</v>
      </c>
      <c r="W40" s="3">
        <v>0.313</v>
      </c>
      <c r="X40" s="3">
        <v>0.42699999999999999</v>
      </c>
      <c r="Y40" s="3">
        <v>0.42599999999999999</v>
      </c>
      <c r="Z40" s="3">
        <v>0.51100000000000001</v>
      </c>
    </row>
    <row r="41" spans="1:26" x14ac:dyDescent="0.2">
      <c r="A41" s="11"/>
      <c r="B41" s="1">
        <v>720</v>
      </c>
      <c r="C41" s="2">
        <v>0.79186391830444336</v>
      </c>
      <c r="D41" s="7">
        <f t="shared" si="0"/>
        <v>0.79100000000000004</v>
      </c>
      <c r="E41" s="2">
        <v>0.67230576276779175</v>
      </c>
      <c r="F41" s="8">
        <f t="shared" si="1"/>
        <v>0.67200000000000004</v>
      </c>
      <c r="G41" s="3">
        <v>0.82699999999999996</v>
      </c>
      <c r="H41" s="3">
        <v>0.68799999999999994</v>
      </c>
      <c r="K41" s="3">
        <v>0.873</v>
      </c>
      <c r="L41" s="3">
        <v>0.70499999999999996</v>
      </c>
      <c r="M41" s="3">
        <v>0.83699999999999997</v>
      </c>
      <c r="N41" s="3">
        <v>0.68799999999999994</v>
      </c>
      <c r="O41" s="3">
        <v>0.89100000000000001</v>
      </c>
      <c r="P41" s="3">
        <v>0.71099999999999997</v>
      </c>
      <c r="Q41" s="3">
        <v>0.84699999999999998</v>
      </c>
      <c r="R41" s="3">
        <v>0.69099999999999995</v>
      </c>
      <c r="S41" s="3">
        <v>1.008</v>
      </c>
      <c r="T41" s="3">
        <v>0.747</v>
      </c>
      <c r="U41" s="3">
        <v>0.88700000000000001</v>
      </c>
      <c r="V41" s="3">
        <v>0.70299999999999996</v>
      </c>
      <c r="W41" s="3">
        <v>0.83899999999999997</v>
      </c>
      <c r="X41" s="3">
        <v>0.69499999999999995</v>
      </c>
      <c r="Y41" s="3">
        <v>1.1619999999999999</v>
      </c>
      <c r="Z41" s="3">
        <v>0.83199999999999996</v>
      </c>
    </row>
    <row r="42" spans="1:26" x14ac:dyDescent="0.2">
      <c r="A42" s="11"/>
      <c r="B42" s="4" t="s">
        <v>0</v>
      </c>
      <c r="C42" s="5">
        <f>AVERAGE(C38:C41)</f>
        <v>0.34420385584235191</v>
      </c>
      <c r="D42" s="7">
        <f t="shared" si="0"/>
        <v>0.34399999999999997</v>
      </c>
      <c r="E42" s="5">
        <f>AVERAGE(E38:E41)</f>
        <v>0.39702601730823517</v>
      </c>
      <c r="F42" s="8">
        <f t="shared" si="1"/>
        <v>0.39700000000000002</v>
      </c>
      <c r="G42" s="3">
        <v>0.35499999999999998</v>
      </c>
      <c r="H42" s="3">
        <v>0.40100000000000002</v>
      </c>
      <c r="K42" s="3">
        <v>0.36799999999999999</v>
      </c>
      <c r="L42" s="3">
        <v>0.40799999999999997</v>
      </c>
      <c r="M42" s="3">
        <v>0.35199999999999998</v>
      </c>
      <c r="N42" s="3">
        <v>0.39700000000000002</v>
      </c>
      <c r="O42" s="3">
        <v>0.375</v>
      </c>
      <c r="P42" s="3">
        <v>0.40799999999999997</v>
      </c>
      <c r="Q42" s="3">
        <v>0.36</v>
      </c>
      <c r="R42" s="3">
        <v>0.40300000000000002</v>
      </c>
      <c r="S42" s="3">
        <v>0.40799999999999997</v>
      </c>
      <c r="T42" s="3">
        <v>0.42199999999999999</v>
      </c>
      <c r="U42" s="3">
        <v>0.36399999999999999</v>
      </c>
      <c r="V42" s="3">
        <v>0.4</v>
      </c>
      <c r="W42" s="3">
        <v>0.35399999999999998</v>
      </c>
      <c r="X42" s="3">
        <v>0.41399999999999998</v>
      </c>
      <c r="Y42" s="3">
        <v>0.499</v>
      </c>
      <c r="Z42" s="3">
        <v>0.51100000000000001</v>
      </c>
    </row>
    <row r="43" spans="1:26" x14ac:dyDescent="0.2">
      <c r="A43" s="11" t="s">
        <v>23</v>
      </c>
      <c r="B43" s="1">
        <v>96</v>
      </c>
      <c r="C43" s="3">
        <v>0.40793699999999999</v>
      </c>
      <c r="D43" s="3">
        <v>0.40699999999999997</v>
      </c>
      <c r="E43" s="3">
        <v>0.261187</v>
      </c>
      <c r="F43" s="3">
        <v>0.26100000000000001</v>
      </c>
      <c r="G43" s="3">
        <v>0.4</v>
      </c>
      <c r="H43" s="3">
        <v>0.23699999999999999</v>
      </c>
      <c r="I43" s="3">
        <v>0.38600000000000001</v>
      </c>
      <c r="J43" s="3">
        <v>0.25800000000000001</v>
      </c>
      <c r="K43" s="3">
        <v>0.41</v>
      </c>
      <c r="L43" s="3">
        <v>0.27400000000000002</v>
      </c>
      <c r="M43" s="3">
        <v>0.44800000000000001</v>
      </c>
      <c r="N43" s="3">
        <v>0.309</v>
      </c>
      <c r="O43" s="3">
        <v>0.47099999999999997</v>
      </c>
      <c r="P43" s="3">
        <v>0.27500000000000002</v>
      </c>
      <c r="Q43" s="3">
        <v>0.39500000000000002</v>
      </c>
      <c r="R43" s="3">
        <v>0.26800000000000002</v>
      </c>
      <c r="S43" s="3">
        <v>0.46899999999999997</v>
      </c>
      <c r="T43" s="3">
        <v>0.28699999999999998</v>
      </c>
      <c r="U43" s="3">
        <v>0.46200000000000002</v>
      </c>
      <c r="V43" s="3">
        <v>0.29499999999999998</v>
      </c>
      <c r="W43" s="3">
        <v>0.65</v>
      </c>
      <c r="X43" s="3">
        <v>0.39600000000000002</v>
      </c>
      <c r="Y43" s="3">
        <v>0.58699999999999997</v>
      </c>
      <c r="Z43" s="3">
        <v>0.36599999999999999</v>
      </c>
    </row>
    <row r="44" spans="1:26" x14ac:dyDescent="0.2">
      <c r="A44" s="11"/>
      <c r="B44" s="1">
        <v>192</v>
      </c>
      <c r="C44" s="3">
        <v>0.42424499999999998</v>
      </c>
      <c r="D44" s="3">
        <v>0.42399999999999999</v>
      </c>
      <c r="E44" s="3">
        <v>0.26533000000000001</v>
      </c>
      <c r="F44" s="3">
        <v>0.26500000000000001</v>
      </c>
      <c r="G44" s="3">
        <v>0.41799999999999998</v>
      </c>
      <c r="H44" s="3">
        <v>0.249</v>
      </c>
      <c r="I44" s="3">
        <v>0.39800000000000002</v>
      </c>
      <c r="J44" s="3">
        <v>0.26300000000000001</v>
      </c>
      <c r="K44" s="3">
        <v>0.43</v>
      </c>
      <c r="L44" s="3">
        <v>0.28000000000000003</v>
      </c>
      <c r="M44" s="3">
        <v>0.45500000000000002</v>
      </c>
      <c r="N44" s="3">
        <v>0.307</v>
      </c>
      <c r="O44" s="3">
        <v>0.47799999999999998</v>
      </c>
      <c r="P44" s="3">
        <v>0.27200000000000002</v>
      </c>
      <c r="Q44" s="3">
        <v>0.41699999999999998</v>
      </c>
      <c r="R44" s="3">
        <v>0.27600000000000002</v>
      </c>
      <c r="S44" s="3">
        <v>0.47599999999999998</v>
      </c>
      <c r="T44" s="3">
        <v>0.29599999999999999</v>
      </c>
      <c r="U44" s="3">
        <v>0.46600000000000003</v>
      </c>
      <c r="V44" s="3">
        <v>0.29599999999999999</v>
      </c>
      <c r="W44" s="3">
        <v>0.59799999999999998</v>
      </c>
      <c r="X44" s="3">
        <v>0.37</v>
      </c>
      <c r="Y44" s="3">
        <v>0.60399999999999998</v>
      </c>
      <c r="Z44" s="3">
        <v>0.373</v>
      </c>
    </row>
    <row r="45" spans="1:26" x14ac:dyDescent="0.2">
      <c r="A45" s="11"/>
      <c r="B45" s="1">
        <v>336</v>
      </c>
      <c r="C45" s="3">
        <v>0.44122600000000001</v>
      </c>
      <c r="D45" s="3">
        <v>0.441</v>
      </c>
      <c r="E45" s="3">
        <v>0.27245000000000003</v>
      </c>
      <c r="F45" s="3">
        <v>0.27200000000000002</v>
      </c>
      <c r="G45" s="3">
        <v>0.438</v>
      </c>
      <c r="H45" s="3">
        <v>0.25600000000000001</v>
      </c>
      <c r="I45" s="3">
        <v>0.40899999999999997</v>
      </c>
      <c r="J45" s="3">
        <v>0.27</v>
      </c>
      <c r="K45" s="3">
        <v>0.44900000000000001</v>
      </c>
      <c r="L45" s="3">
        <v>0.28999999999999998</v>
      </c>
      <c r="M45" s="3">
        <v>0.47199999999999998</v>
      </c>
      <c r="N45" s="3">
        <v>0.313</v>
      </c>
      <c r="O45" s="3">
        <v>0.501</v>
      </c>
      <c r="P45" s="3">
        <v>0.27600000000000002</v>
      </c>
      <c r="Q45" s="3">
        <v>0.433</v>
      </c>
      <c r="R45" s="3">
        <v>0.28299999999999997</v>
      </c>
      <c r="S45" s="3">
        <v>0.48799999999999999</v>
      </c>
      <c r="T45" s="3">
        <v>0.29899999999999999</v>
      </c>
      <c r="U45" s="3">
        <v>0.48199999999999998</v>
      </c>
      <c r="V45" s="3">
        <v>0.30399999999999999</v>
      </c>
      <c r="W45" s="3">
        <v>0.60499999999999998</v>
      </c>
      <c r="X45" s="3">
        <v>0.373</v>
      </c>
      <c r="Y45" s="3">
        <v>0.621</v>
      </c>
      <c r="Z45" s="3">
        <v>0.38300000000000001</v>
      </c>
    </row>
    <row r="46" spans="1:26" x14ac:dyDescent="0.2">
      <c r="A46" s="11"/>
      <c r="B46" s="1">
        <v>720</v>
      </c>
      <c r="C46" s="3">
        <v>0.47649900000000001</v>
      </c>
      <c r="D46" s="3">
        <v>0.47599999999999998</v>
      </c>
      <c r="E46" s="3">
        <v>0.290107</v>
      </c>
      <c r="F46" s="3">
        <v>0.28999999999999998</v>
      </c>
      <c r="G46" s="3">
        <v>0.47</v>
      </c>
      <c r="H46" s="3">
        <v>0.27500000000000002</v>
      </c>
      <c r="I46" s="3">
        <v>0.43099999999999999</v>
      </c>
      <c r="J46" s="3">
        <v>0.28699999999999998</v>
      </c>
      <c r="K46" s="3">
        <v>0.48599999999999999</v>
      </c>
      <c r="L46" s="3">
        <v>0.309</v>
      </c>
      <c r="M46" s="3">
        <v>0.50800000000000001</v>
      </c>
      <c r="N46" s="3">
        <v>0.33200000000000002</v>
      </c>
      <c r="O46" s="3">
        <v>0.54700000000000004</v>
      </c>
      <c r="P46" s="3">
        <v>0.29099999999999998</v>
      </c>
      <c r="Q46" s="3">
        <v>0.46700000000000003</v>
      </c>
      <c r="R46" s="3">
        <v>0.30199999999999999</v>
      </c>
      <c r="S46" s="3">
        <v>0.52200000000000002</v>
      </c>
      <c r="T46" s="3">
        <v>0.316</v>
      </c>
      <c r="U46" s="3">
        <v>0.51400000000000001</v>
      </c>
      <c r="V46" s="3">
        <v>0.32200000000000001</v>
      </c>
      <c r="W46" s="3">
        <v>0.64500000000000002</v>
      </c>
      <c r="X46" s="3">
        <v>0.39400000000000002</v>
      </c>
      <c r="Y46" s="3">
        <v>0.626</v>
      </c>
      <c r="Z46" s="3">
        <v>0.38200000000000001</v>
      </c>
    </row>
    <row r="47" spans="1:26" x14ac:dyDescent="0.2">
      <c r="A47" s="11"/>
      <c r="B47" s="4" t="s">
        <v>0</v>
      </c>
      <c r="C47" s="3">
        <v>0.437477</v>
      </c>
      <c r="D47" s="3">
        <v>0.437</v>
      </c>
      <c r="E47" s="3">
        <v>0.27226899999999998</v>
      </c>
      <c r="F47" s="3">
        <v>0.27200000000000002</v>
      </c>
      <c r="G47" s="3">
        <v>0.43099999999999999</v>
      </c>
      <c r="H47" s="3">
        <v>0.254</v>
      </c>
      <c r="I47" s="3">
        <v>0.40600000000000003</v>
      </c>
      <c r="J47" s="3">
        <v>27</v>
      </c>
      <c r="K47" s="3">
        <v>0.443</v>
      </c>
      <c r="L47" s="3">
        <v>0.28799999999999998</v>
      </c>
      <c r="M47" s="3">
        <v>0.47</v>
      </c>
      <c r="N47" s="3">
        <v>0.315</v>
      </c>
      <c r="O47" s="3">
        <v>0.499</v>
      </c>
      <c r="P47" s="3">
        <v>0.27900000000000003</v>
      </c>
      <c r="Q47" s="3">
        <v>0.42799999999999999</v>
      </c>
      <c r="R47" s="3">
        <v>0.28199999999999997</v>
      </c>
      <c r="S47" s="3">
        <v>0.48799999999999999</v>
      </c>
      <c r="T47" s="3">
        <v>0.29899999999999999</v>
      </c>
      <c r="U47" s="3">
        <v>0.48099999999999998</v>
      </c>
      <c r="V47" s="3">
        <v>0.30399999999999999</v>
      </c>
      <c r="W47" s="3">
        <v>0.625</v>
      </c>
      <c r="X47" s="3">
        <v>0.38300000000000001</v>
      </c>
      <c r="Y47" s="3">
        <v>0.61</v>
      </c>
      <c r="Z47" s="3">
        <v>0.376</v>
      </c>
    </row>
  </sheetData>
  <mergeCells count="19">
    <mergeCell ref="A43:A47"/>
    <mergeCell ref="A33:A37"/>
    <mergeCell ref="A38:A42"/>
    <mergeCell ref="A3:A7"/>
    <mergeCell ref="A8:A12"/>
    <mergeCell ref="A13:A17"/>
    <mergeCell ref="A18:A22"/>
    <mergeCell ref="A23:A27"/>
    <mergeCell ref="A28:A32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亚博 徐</dc:creator>
  <cp:lastModifiedBy>亚博 徐</cp:lastModifiedBy>
  <dcterms:created xsi:type="dcterms:W3CDTF">2026-09-08T01:53:32Z</dcterms:created>
  <dcterms:modified xsi:type="dcterms:W3CDTF">2026-09-24T03:23:09Z</dcterms:modified>
</cp:coreProperties>
</file>